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Desktop\gtihub\Infil-V2-printer\"/>
    </mc:Choice>
  </mc:AlternateContent>
  <xr:revisionPtr revIDLastSave="0" documentId="13_ncr:1_{AB071AE4-3BAA-4AC3-99F6-28805D0CFEAC}" xr6:coauthVersionLast="47" xr6:coauthVersionMax="47" xr10:uidLastSave="{00000000-0000-0000-0000-000000000000}"/>
  <bookViews>
    <workbookView xWindow="-29393" yWindow="840" windowWidth="25583" windowHeight="10957" xr2:uid="{80A16C1D-FA00-4BD1-8CF2-E7CFF0DC5DE7}"/>
  </bookViews>
  <sheets>
    <sheet name="MAIN SHEE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H14" i="4" s="1"/>
  <c r="G87" i="4"/>
  <c r="H87" i="4" s="1"/>
  <c r="G63" i="4"/>
  <c r="H63" i="4"/>
  <c r="G71" i="4"/>
  <c r="H71" i="4"/>
  <c r="G72" i="4"/>
  <c r="H72" i="4" s="1"/>
  <c r="G36" i="4"/>
  <c r="G25" i="4"/>
  <c r="H25" i="4" s="1"/>
  <c r="G81" i="4"/>
  <c r="H81" i="4" s="1"/>
  <c r="H70" i="4"/>
  <c r="H69" i="4"/>
  <c r="H68" i="4"/>
  <c r="H67" i="4"/>
  <c r="H66" i="4"/>
  <c r="G61" i="4"/>
  <c r="H61" i="4" s="1"/>
  <c r="G70" i="4"/>
  <c r="G69" i="4"/>
  <c r="G68" i="4"/>
  <c r="G66" i="4"/>
  <c r="G65" i="4"/>
  <c r="H65" i="4" s="1"/>
  <c r="G64" i="4"/>
  <c r="H64" i="4" s="1"/>
  <c r="H36" i="4"/>
  <c r="H59" i="4"/>
  <c r="H88" i="4"/>
  <c r="G39" i="4"/>
  <c r="H39" i="4" s="1"/>
  <c r="G13" i="4"/>
  <c r="H13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6" i="4"/>
  <c r="H46" i="4" s="1"/>
  <c r="G45" i="4"/>
  <c r="H45" i="4" s="1"/>
  <c r="G44" i="4"/>
  <c r="H44" i="4" s="1"/>
  <c r="G41" i="4"/>
  <c r="H41" i="4" s="1"/>
  <c r="G40" i="4"/>
  <c r="H40" i="4" s="1"/>
  <c r="G38" i="4"/>
  <c r="H38" i="4" s="1"/>
  <c r="G89" i="4" l="1"/>
  <c r="H89" i="4" s="1"/>
  <c r="G86" i="4"/>
  <c r="H86" i="4" s="1"/>
  <c r="G21" i="4"/>
  <c r="H21" i="4" s="1"/>
  <c r="G22" i="4"/>
  <c r="H22" i="4" s="1"/>
  <c r="G23" i="4"/>
  <c r="H23" i="4" s="1"/>
  <c r="G15" i="4"/>
  <c r="H15" i="4" s="1"/>
  <c r="G16" i="4"/>
  <c r="H16" i="4" s="1"/>
  <c r="G17" i="4"/>
  <c r="H17" i="4" s="1"/>
  <c r="G18" i="4"/>
  <c r="H18" i="4" s="1"/>
  <c r="G19" i="4"/>
  <c r="H19" i="4" s="1"/>
  <c r="G29" i="4"/>
  <c r="H29" i="4" s="1"/>
  <c r="G30" i="4"/>
  <c r="H30" i="4" s="1"/>
  <c r="G31" i="4"/>
  <c r="H31" i="4" s="1"/>
  <c r="G28" i="4"/>
  <c r="H28" i="4" s="1"/>
  <c r="G80" i="4"/>
  <c r="H80" i="4" s="1"/>
  <c r="G79" i="4"/>
  <c r="H79" i="4" s="1"/>
  <c r="G78" i="4"/>
  <c r="H78" i="4" s="1"/>
  <c r="G77" i="4"/>
  <c r="H77" i="4" s="1"/>
  <c r="G62" i="4"/>
  <c r="H62" i="4" s="1"/>
  <c r="G35" i="4"/>
  <c r="H35" i="4" s="1"/>
  <c r="C5" i="4" l="1"/>
</calcChain>
</file>

<file path=xl/sharedStrings.xml><?xml version="1.0" encoding="utf-8"?>
<sst xmlns="http://schemas.openxmlformats.org/spreadsheetml/2006/main" count="159" uniqueCount="139">
  <si>
    <t>MOTION</t>
  </si>
  <si>
    <t>Cost</t>
  </si>
  <si>
    <t>Quant</t>
  </si>
  <si>
    <t>Link</t>
  </si>
  <si>
    <t>Notes</t>
  </si>
  <si>
    <t>FRAME</t>
  </si>
  <si>
    <t>ELECTRONICS</t>
  </si>
  <si>
    <t>OTHER</t>
  </si>
  <si>
    <t>Total cost</t>
  </si>
  <si>
    <t>Toothed 20t idler</t>
  </si>
  <si>
    <t>4pack</t>
  </si>
  <si>
    <t>625 bearings</t>
  </si>
  <si>
    <t>FASTENERS</t>
  </si>
  <si>
    <t>https://peopoly.net/products/magneto-x-lancer-melt-zone?variant=49972216103194</t>
  </si>
  <si>
    <t>120w heater on it, 15 bucks of the prices is shipping</t>
  </si>
  <si>
    <t>peopoly lancer long</t>
  </si>
  <si>
    <t>mellow D7</t>
  </si>
  <si>
    <t>https://www.aliexpress.com/item/33028050145.html</t>
  </si>
  <si>
    <t>https://www.aliexpress.com/item/1005006422323624.html</t>
  </si>
  <si>
    <t>https://www.aliexpress.com/item/1005004229433552.html</t>
  </si>
  <si>
    <t>2pk</t>
  </si>
  <si>
    <t>Toolhead</t>
  </si>
  <si>
    <t>voron 0 bed</t>
  </si>
  <si>
    <t>5mm couplers</t>
  </si>
  <si>
    <t>1pk</t>
  </si>
  <si>
    <t>HGX 2.0 gears + hardware</t>
  </si>
  <si>
    <t>https://www.aliexpress.com/item/1005007316630515.html</t>
  </si>
  <si>
    <t>comes with other hardware needed</t>
  </si>
  <si>
    <t>5x5</t>
  </si>
  <si>
    <t>https://www.aliexpress.com/item/1005008857891214.html</t>
  </si>
  <si>
    <t>4015 fan</t>
  </si>
  <si>
    <t>https://www.aliexpress.com/item/1005004832141450.html</t>
  </si>
  <si>
    <t>for low speed PLA</t>
  </si>
  <si>
    <t>2510 fan</t>
  </si>
  <si>
    <t>https://www.aliexpress.com/item/1005003595630530.html</t>
  </si>
  <si>
    <t>fan</t>
  </si>
  <si>
    <t>https://www.aliexpress.com/item/1005004019523225.html</t>
  </si>
  <si>
    <t>2gt 306</t>
  </si>
  <si>
    <t>I allready own this</t>
  </si>
  <si>
    <t>gt2 6mm closed loop belt for belt</t>
  </si>
  <si>
    <t>m5, 7.5mm od heatset</t>
  </si>
  <si>
    <t>10pk</t>
  </si>
  <si>
    <t>https://www.aliexpress.com/item/1005008897571758.html</t>
  </si>
  <si>
    <t>IEC power inlet</t>
  </si>
  <si>
    <t>https://www.aliexpress.com/item/1005006990146296.html</t>
  </si>
  <si>
    <t>LDO 36STH20-1004AHG</t>
  </si>
  <si>
    <t>https://www.aliexpress.com/item/1005002899860754.html</t>
  </si>
  <si>
    <t>Allready own, using from infil v1</t>
  </si>
  <si>
    <t>https://jlcmc.com/product/b/C15/BR8364/deep-groove-ball-bearing-double-side-with-dust-cover</t>
  </si>
  <si>
    <t>cheaper than jlc</t>
  </si>
  <si>
    <t>5mm dia 11mm shaft</t>
  </si>
  <si>
    <t>5mm dia 50mm shaft</t>
  </si>
  <si>
    <t>5mm dia 142mm shaft</t>
  </si>
  <si>
    <t>https://jlcmc.com/product/s/B08/BACA/linear-shaft-solid-straight-g6-tolerance?k=BACA-C2G1-D5-L11&amp;productModelNumber=BACA-C2G1-D5-L%5B10~500%2F1%5D</t>
  </si>
  <si>
    <t>https://jlcmc.com/product/s/B08/BACA/linear-shaft-solid-straight-g6-tolerance?k=BACA-C2G1-D5-L50&amp;productModelNumber=BACA-C2G1-D5-L%5B10~500%2F1%5D</t>
  </si>
  <si>
    <t>2020 , 180mm</t>
  </si>
  <si>
    <t>2020 , 320mm</t>
  </si>
  <si>
    <t>2020 , 380mm</t>
  </si>
  <si>
    <t>2020 , 280mm</t>
  </si>
  <si>
    <t>Z1 mgn9c 314mm</t>
  </si>
  <si>
    <t>Z1 mgn9c 160mm</t>
  </si>
  <si>
    <t>Z1 mgn9c 224mm</t>
  </si>
  <si>
    <t>external mosfet board to support the bed</t>
  </si>
  <si>
    <t>https://www.aliexpress.com/item/1005007347759654.html</t>
  </si>
  <si>
    <t>https://jlcmc.com/product/s/T01/TXCJ/extruded-aluminum-t-slot-20-series(eu)?k=TXCJ-H7-2020D-L320&amp;productModelNumber=TXCJ-H7-2020D-L%5B50~6000%2F0.1%5D</t>
  </si>
  <si>
    <t>https://jlcmc.com/product/s/T01/TXCJ/extruded-aluminum-t-slot-20-series(eu)?k=TXCJ-H7-2020D-L380&amp;productModelNumber=TXCJ-H7-2020D-L%5B50~6000%2F0.1%5D</t>
  </si>
  <si>
    <t>https://jlcmc.com/product/s/T01/TXCJ/extruded-aluminum-t-slot-20-series(eu)?k=TXCJ-H7-2020D-L280&amp;productModelNumber=TXCJ-H7-2020D-L%5B50~6000%2F0.1%5D</t>
  </si>
  <si>
    <t>https://jlcmc.com/product/s/T01/TXCJ/extruded-aluminum-t-slot-20-series(eu)?k=TXCJ-H7-2020D-L180&amp;productModelNumber=TXCJ-H7-2020D-L%5B50~6000%2F0.1%5D</t>
  </si>
  <si>
    <t>https://jlcmc.com/product/s/B03/E-BMN/economical-linear-guide-mini-standard-type-7-9-12-15?k=E-BMN9H-1-L314-Z1-C-M-E7&amp;productModelNumber=E-BMN9H-1-L%5B45~1400%2F1%5D-Z1-C-M-E%5B0~19%2F0.5%5D</t>
  </si>
  <si>
    <t>https://jlcmc.com/product/s/B03/E-BMN/economical-linear-guide-mini-standard-type-7-9-12-15?k=E-BMN9H-1-L160-Z1-C-M-E10&amp;productModelNumber=E-BMN9H-1-L%5B45~1400%2F1%5D-Z1-C-M-E%5B0~19%2F0.5%5D</t>
  </si>
  <si>
    <t>https://jlcmc.com/product/s/B03/E-BMN/economical-linear-guide-mini-standard-type-7-9-12-15?k=E-BMN9H-1-L224-Z1-C-M-E12&amp;productModelNumber=E-BMN9H-1-L%5B45~1400%2F1%5D-Z1-C-M-E%5B0~19%2F0.5%5D</t>
  </si>
  <si>
    <t>https://jlcmc.com/product/s/B08/BACA/linear-shaft-solid-straight-g6-tolerance?k=BACA-C2G1-D5-L142&amp;productModelNumber=BACA-C2G1-D5-L%5B10~500%2F1%5D</t>
  </si>
  <si>
    <t>https://www.aliexpress.com/item/4000723868050.html</t>
  </si>
  <si>
    <t>motor heat sync</t>
  </si>
  <si>
    <t>https://www.aliexpress.com/item/1005002630474461.html</t>
  </si>
  <si>
    <t>Reinforced Gt2 belt 2M</t>
  </si>
  <si>
    <t>https://www.aliexpress.com/item/1005010353468208.html</t>
  </si>
  <si>
    <t>printer requires exactly 2.1meters of belt, make sure to buy a little bit more</t>
  </si>
  <si>
    <t xml:space="preserve">M5x30 </t>
  </si>
  <si>
    <t>SHCS</t>
  </si>
  <si>
    <t>M5x20</t>
  </si>
  <si>
    <t>M5x12</t>
  </si>
  <si>
    <t>M5 t slot nut</t>
  </si>
  <si>
    <t>M4x20</t>
  </si>
  <si>
    <t>M4x10</t>
  </si>
  <si>
    <t>M4 t slot nut</t>
  </si>
  <si>
    <t>M3x40</t>
  </si>
  <si>
    <t>M3x35</t>
  </si>
  <si>
    <t>M3x30</t>
  </si>
  <si>
    <t>M3x25</t>
  </si>
  <si>
    <t>M3x22</t>
  </si>
  <si>
    <t>M3x20</t>
  </si>
  <si>
    <t>M3x16</t>
  </si>
  <si>
    <t>M3x12</t>
  </si>
  <si>
    <t>M3x8</t>
  </si>
  <si>
    <t>M3x6</t>
  </si>
  <si>
    <t>M3 t slot nut</t>
  </si>
  <si>
    <t>Total From scratch</t>
  </si>
  <si>
    <t>pack size (where aplicable)</t>
  </si>
  <si>
    <t>https://jlcmc.com/product/s/T02/TPAA/m3-m4-m5-t-nut-20-series-aluminum-profile-fasteners?k=TPAA-N-6-M5&amp;productModelNumber=TPAA-N-6-M5</t>
  </si>
  <si>
    <t>https://jlcmc.com/product/s/T02/TPAA/m3-m4-m5-t-nut-20-series-aluminum-profile-fasteners?k=TPAA-N-6-M4&amp;productModelNumber=TPAA-N-6-M4</t>
  </si>
  <si>
    <t>https://jlcmc.com/product/s/E02/EDLA/hex-socket-screw-full-partial-thread-standard-type-(din-912-gb-t-70.1)?k=EDLA-J2-M3-L6&amp;productModelNumber=EDLA-J2-M3-L6</t>
  </si>
  <si>
    <t>https://jlcmc.com/product/s/E02/EDLA/hex-socket-screw-full-partial-thread-standard-type-(din-912-gb-t-70.1)?k=EDLA-J2-M3-L8&amp;productModelNumber=EDLA-J2-M3-L8</t>
  </si>
  <si>
    <t>https://jlcmc.com/product/s/E02/EDLA/hex-socket-screw-full-partial-thread-standard-type-(din-912-gb-t-70.1)?k=EDLA-J2-M3-L12&amp;productModelNumber=EDLA-J2-M3-L12</t>
  </si>
  <si>
    <t>https://jlcmc.com/product/s/E02/EDLA/hex-socket-screw-full-partial-thread-standard-type-(din-912-gb-t-70.1)?k=EDLA-J2-M3-L16&amp;productModelNumber=EDLA-J2-M3-L16</t>
  </si>
  <si>
    <t>https://jlcmc.com/product/s/E02/EDLA/hex-socket-screw-full-partial-thread-standard-type-(din-912-gb-t-70.1)?k=EDLA-J2-M3-L20&amp;productModelNumber=EDLA-J2-M3-L20</t>
  </si>
  <si>
    <t>https://jlcmc.com/product/s/E02/EDLA/hex-socket-screw-full-partial-thread-standard-type-(din-912-gb-t-70.1)?k=EDLA-J2-M3-L22&amp;productModelNumber=EDLA-J2-M3-L22</t>
  </si>
  <si>
    <t>https://jlcmc.com/product/s/E02/EDLA/hex-socket-screw-full-partial-thread-standard-type-(din-912-gb-t-70.1)?k=EDLA-J2-M3-L25&amp;productModelNumber=EDLA-J2-M3-L25</t>
  </si>
  <si>
    <t>https://jlcmc.com/product/s/E02/EDLA/hex-socket-screw-full-partial-thread-standard-type-(din-912-gb-t-70.1)?k=EDLA-J2-M3-L30&amp;productModelNumber=EDLA-J2-M3-L30</t>
  </si>
  <si>
    <t>https://jlcmc.com/product/s/E02/EDLA/hex-socket-screw-full-partial-thread-standard-type-(din-912-gb-t-70.1)?k=EDLA-J2-M3-L35&amp;productModelNumber=EDLA-J2-M3-L35</t>
  </si>
  <si>
    <t>https://jlcmc.com/product/s/E02/EDLA/hex-socket-screw-full-partial-thread-standard-type-(din-912-gb-t-70.1)?k=EDLA-J2-M3-L6&amp;productModelNumber=EDLA-J2-M3-L40</t>
  </si>
  <si>
    <t>https://jlcmc.com/product/s/E02/EDLA/hex-socket-screw-full-partial-thread-standard-type-(din-912-gb-t-70.1)?k=EDLA-J2-M4-L20&amp;productModelNumber=EDLA-J2-M4-L20</t>
  </si>
  <si>
    <t>https://jlcmc.com/product/s/E02/EDLA/hex-socket-screw-full-partial-thread-standard-type-(din-912-gb-t-70.1)?k=EDLA-J2-M4-L10&amp;productModelNumber=EDLA-J2-M4-L10</t>
  </si>
  <si>
    <t>Total with my parts</t>
  </si>
  <si>
    <t>https://www.aliexpress.com/item/1005006614952857.html</t>
  </si>
  <si>
    <t>Ptfe wire red</t>
  </si>
  <si>
    <t>https://www.aliexpress.com/item/1005004874514644.html</t>
  </si>
  <si>
    <t>Ptfe wire blk</t>
  </si>
  <si>
    <t>old desktop fans</t>
  </si>
  <si>
    <t>hunt</t>
  </si>
  <si>
    <t>meanwell lrs350-24</t>
  </si>
  <si>
    <t>https://www.aliexpress.com/item/1005004796910794.html</t>
  </si>
  <si>
    <t>meanwell lrs350-48</t>
  </si>
  <si>
    <t>it’s a much cheaper alternative to the BTT octopus or mellow super</t>
  </si>
  <si>
    <t>custom v0.1 bed heater</t>
  </si>
  <si>
    <t>JLC flexheater service</t>
  </si>
  <si>
    <t>LDO2504AH</t>
  </si>
  <si>
    <t>Inc shipping 4pk</t>
  </si>
  <si>
    <t>https://www.onetwo3d.co.uk/product/ldo-42sth48-2504ahs35r-stepper-motor/</t>
  </si>
  <si>
    <t>250pk</t>
  </si>
  <si>
    <t>m3, m3x5x4.2</t>
  </si>
  <si>
    <t>https://www.aliexpress.com/item/1005006494200941.html?spm=a2g0o.order_list.order_list_main.10.79111802pMBhV0</t>
  </si>
  <si>
    <t>you could order the exact ammount you need, but if you need to reprint a part and need more heatsets, that could become bad</t>
  </si>
  <si>
    <t>TMC2209</t>
  </si>
  <si>
    <t>TMC5160</t>
  </si>
  <si>
    <t>CAD uses 30mm shaft motors, these are 35mm shaft motors , spacers required</t>
  </si>
  <si>
    <t>bed springs</t>
  </si>
  <si>
    <t>https://www.aliexpress.com/item/33000218395.html</t>
  </si>
  <si>
    <t>Owned?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</si>
</sst>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 applyAlignment="1">
      <alignment horizontal="left"/>
    </xf>
    <xf numFmtId="0" fontId="2" fillId="0" borderId="0" xfId="0" applyFont="1"/>
    <xf numFmtId="0" fontId="0" fillId="6" borderId="0" xfId="0" applyFill="1"/>
    <xf numFmtId="0" fontId="1" fillId="6" borderId="0" xfId="0" applyFont="1" applyFill="1"/>
    <xf numFmtId="0" fontId="3" fillId="0" borderId="0" xfId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0" xfId="0" applyFill="1"/>
    <xf numFmtId="0" fontId="1" fillId="7" borderId="0" xfId="0" applyFont="1" applyFill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2" fontId="0" fillId="6" borderId="0" xfId="0" applyNumberFormat="1" applyFill="1"/>
    <xf numFmtId="2" fontId="0" fillId="4" borderId="0" xfId="0" applyNumberFormat="1" applyFill="1"/>
    <xf numFmtId="2" fontId="0" fillId="7" borderId="0" xfId="0" applyNumberFormat="1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mc.com/product/s/E02/EDLA/hex-socket-screw-full-partial-thread-standard-type-(din-912-gb-t-70.1)?k=EDLA-J2-M3-L20&amp;productModelNumber=EDLA-J2-M3-L20" TargetMode="External"/><Relationship Id="rId13" Type="http://schemas.openxmlformats.org/officeDocument/2006/relationships/hyperlink" Target="https://jlcmc.com/product/s/E02/EDLA/hex-socket-screw-full-partial-thread-standard-type-(din-912-gb-t-70.1)?k=EDLA-J2-M3-L6&amp;productModelNumber=EDLA-J2-M3-L40" TargetMode="External"/><Relationship Id="rId3" Type="http://schemas.openxmlformats.org/officeDocument/2006/relationships/hyperlink" Target="https://www.aliexpress.com/item/1005002899860754.html" TargetMode="External"/><Relationship Id="rId7" Type="http://schemas.openxmlformats.org/officeDocument/2006/relationships/hyperlink" Target="https://jlcmc.com/product/s/E02/EDLA/hex-socket-screw-full-partial-thread-standard-type-(din-912-gb-t-70.1)?k=EDLA-J2-M3-L16&amp;productModelNumber=EDLA-J2-M3-L16" TargetMode="External"/><Relationship Id="rId12" Type="http://schemas.openxmlformats.org/officeDocument/2006/relationships/hyperlink" Target="https://jlcmc.com/product/s/E02/EDLA/hex-socket-screw-full-partial-thread-standard-type-(din-912-gb-t-70.1)?k=EDLA-J2-M3-L35&amp;productModelNumber=EDLA-J2-M3-L35" TargetMode="External"/><Relationship Id="rId2" Type="http://schemas.openxmlformats.org/officeDocument/2006/relationships/hyperlink" Target="https://www.aliexpress.com/item/1005007316630515.html" TargetMode="External"/><Relationship Id="rId1" Type="http://schemas.openxmlformats.org/officeDocument/2006/relationships/hyperlink" Target="https://www.aliexpress.com/item/1005008897571758.html" TargetMode="External"/><Relationship Id="rId6" Type="http://schemas.openxmlformats.org/officeDocument/2006/relationships/hyperlink" Target="https://jlcmc.com/product/s/E02/EDLA/hex-socket-screw-full-partial-thread-standard-type-(din-912-gb-t-70.1)?k=EDLA-J2-M3-L12&amp;productModelNumber=EDLA-J2-M3-L12" TargetMode="External"/><Relationship Id="rId11" Type="http://schemas.openxmlformats.org/officeDocument/2006/relationships/hyperlink" Target="https://jlcmc.com/product/s/E02/EDLA/hex-socket-screw-full-partial-thread-standard-type-(din-912-gb-t-70.1)?k=EDLA-J2-M3-L30&amp;productModelNumber=EDLA-J2-M3-L30" TargetMode="External"/><Relationship Id="rId5" Type="http://schemas.openxmlformats.org/officeDocument/2006/relationships/hyperlink" Target="https://jlcmc.com/product/s/E02/EDLA/hex-socket-screw-full-partial-thread-standard-type-(din-912-gb-t-70.1)?k=EDLA-J2-M3-L8&amp;productModelNumber=EDLA-J2-M3-L8" TargetMode="External"/><Relationship Id="rId15" Type="http://schemas.openxmlformats.org/officeDocument/2006/relationships/hyperlink" Target="https://www.aliexpress.com/item/1005006422323624.html" TargetMode="External"/><Relationship Id="rId10" Type="http://schemas.openxmlformats.org/officeDocument/2006/relationships/hyperlink" Target="https://jlcmc.com/product/s/E02/EDLA/hex-socket-screw-full-partial-thread-standard-type-(din-912-gb-t-70.1)?k=EDLA-J2-M3-L25&amp;productModelNumber=EDLA-J2-M3-L25" TargetMode="External"/><Relationship Id="rId4" Type="http://schemas.openxmlformats.org/officeDocument/2006/relationships/hyperlink" Target="https://www.aliexpress.com/item/1005002630474461.html" TargetMode="External"/><Relationship Id="rId9" Type="http://schemas.openxmlformats.org/officeDocument/2006/relationships/hyperlink" Target="https://jlcmc.com/product/s/E02/EDLA/hex-socket-screw-full-partial-thread-standard-type-(din-912-gb-t-70.1)?k=EDLA-J2-M3-L22&amp;productModelNumber=EDLA-J2-M3-L22" TargetMode="External"/><Relationship Id="rId14" Type="http://schemas.openxmlformats.org/officeDocument/2006/relationships/hyperlink" Target="https://jlcmc.com/product/s/E02/EDLA/hex-socket-screw-full-partial-thread-standard-type-(din-912-gb-t-70.1)?k=EDLA-J2-M4-L10&amp;productModelNumber=EDLA-J2-M4-L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EADE-D7C2-44CE-B0E2-38178E72D153}">
  <dimension ref="A4:Q159"/>
  <sheetViews>
    <sheetView tabSelected="1" zoomScale="85" zoomScaleNormal="85" workbookViewId="0">
      <selection activeCell="W6" sqref="W6"/>
    </sheetView>
  </sheetViews>
  <sheetFormatPr defaultRowHeight="14.5" x14ac:dyDescent="0.35"/>
  <cols>
    <col min="3" max="3" width="11.1796875" customWidth="1"/>
    <col min="4" max="4" width="12.453125" customWidth="1"/>
    <col min="5" max="5" width="11.90625" customWidth="1"/>
    <col min="7" max="7" width="10.81640625" customWidth="1"/>
    <col min="9" max="9" width="10.26953125" customWidth="1"/>
  </cols>
  <sheetData>
    <row r="4" spans="1:17" x14ac:dyDescent="0.35">
      <c r="C4" s="28" t="s">
        <v>8</v>
      </c>
      <c r="D4" s="9"/>
    </row>
    <row r="5" spans="1:17" x14ac:dyDescent="0.35">
      <c r="C5" s="28">
        <f>SUM(G11:G433)</f>
        <v>577.13</v>
      </c>
      <c r="D5" s="9"/>
    </row>
    <row r="10" spans="1:17" ht="46" customHeight="1" x14ac:dyDescent="0.35">
      <c r="A10" s="26" t="s">
        <v>138</v>
      </c>
      <c r="B10" s="26"/>
      <c r="C10" s="26"/>
      <c r="D10" s="27" t="s">
        <v>98</v>
      </c>
      <c r="E10" s="26" t="s">
        <v>1</v>
      </c>
      <c r="F10" s="26" t="s">
        <v>2</v>
      </c>
      <c r="G10" s="25" t="s">
        <v>97</v>
      </c>
      <c r="H10" s="27" t="s">
        <v>113</v>
      </c>
      <c r="I10" s="26" t="s">
        <v>3</v>
      </c>
      <c r="J10" s="26" t="s">
        <v>4</v>
      </c>
      <c r="K10" s="26"/>
    </row>
    <row r="11" spans="1:17" ht="21" x14ac:dyDescent="0.5">
      <c r="A11" s="1"/>
      <c r="B11" s="2" t="s">
        <v>0</v>
      </c>
      <c r="C11" s="1"/>
      <c r="D11" s="1"/>
      <c r="E11" s="1"/>
      <c r="F11" s="1"/>
      <c r="G11" s="19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G12" s="20"/>
    </row>
    <row r="13" spans="1:17" x14ac:dyDescent="0.35">
      <c r="A13" s="14" t="b">
        <v>0</v>
      </c>
      <c r="B13" t="s">
        <v>75</v>
      </c>
      <c r="E13">
        <v>11.58</v>
      </c>
      <c r="F13">
        <v>1</v>
      </c>
      <c r="G13" s="20">
        <f>ROUNDUP(F13*E13,2)</f>
        <v>11.58</v>
      </c>
      <c r="H13">
        <f>IF(A13,0,G13)</f>
        <v>11.58</v>
      </c>
      <c r="I13" s="13" t="s">
        <v>76</v>
      </c>
      <c r="J13" t="s">
        <v>77</v>
      </c>
    </row>
    <row r="14" spans="1:17" x14ac:dyDescent="0.35">
      <c r="A14" s="14" t="b">
        <v>0</v>
      </c>
      <c r="B14" t="s">
        <v>9</v>
      </c>
      <c r="D14" t="s">
        <v>10</v>
      </c>
      <c r="E14">
        <v>16.14</v>
      </c>
      <c r="F14">
        <v>0</v>
      </c>
      <c r="G14" s="20">
        <f>ROUNDUP(F14*E14,2)</f>
        <v>0</v>
      </c>
      <c r="H14">
        <f>IF(A14,0,G14)</f>
        <v>0</v>
      </c>
      <c r="I14" s="13" t="s">
        <v>74</v>
      </c>
    </row>
    <row r="15" spans="1:17" x14ac:dyDescent="0.35">
      <c r="A15" s="14" t="b">
        <v>0</v>
      </c>
      <c r="B15" t="s">
        <v>11</v>
      </c>
      <c r="D15" t="s">
        <v>24</v>
      </c>
      <c r="E15">
        <v>0.1186</v>
      </c>
      <c r="F15">
        <v>16</v>
      </c>
      <c r="G15" s="20">
        <f>ROUNDUP(F15*E15,2)</f>
        <v>1.9</v>
      </c>
      <c r="H15">
        <f t="shared" ref="H15:H59" si="0">IF(A15,0,G15)</f>
        <v>1.9</v>
      </c>
      <c r="I15" s="10" t="s">
        <v>48</v>
      </c>
    </row>
    <row r="16" spans="1:17" x14ac:dyDescent="0.35">
      <c r="A16" s="14" t="b">
        <v>0</v>
      </c>
      <c r="B16" t="s">
        <v>23</v>
      </c>
      <c r="D16" t="s">
        <v>24</v>
      </c>
      <c r="E16">
        <v>1.56</v>
      </c>
      <c r="F16">
        <v>4</v>
      </c>
      <c r="G16" s="20">
        <f t="shared" ref="G16:G23" si="1">ROUNDUP(F16*E16,2)</f>
        <v>6.24</v>
      </c>
      <c r="H16">
        <f t="shared" si="0"/>
        <v>6.24</v>
      </c>
      <c r="I16" s="13" t="s">
        <v>29</v>
      </c>
      <c r="J16" t="s">
        <v>28</v>
      </c>
      <c r="K16" t="s">
        <v>49</v>
      </c>
    </row>
    <row r="17" spans="1:17" x14ac:dyDescent="0.35">
      <c r="A17" s="14" t="b">
        <v>0</v>
      </c>
      <c r="B17" t="s">
        <v>50</v>
      </c>
      <c r="E17">
        <v>0.66320000000000001</v>
      </c>
      <c r="F17">
        <v>4</v>
      </c>
      <c r="G17" s="20">
        <f t="shared" si="1"/>
        <v>2.6599999999999997</v>
      </c>
      <c r="H17">
        <f t="shared" si="0"/>
        <v>2.6599999999999997</v>
      </c>
      <c r="I17" s="13" t="s">
        <v>53</v>
      </c>
    </row>
    <row r="18" spans="1:17" x14ac:dyDescent="0.35">
      <c r="A18" s="14" t="b">
        <v>0</v>
      </c>
      <c r="B18" t="s">
        <v>51</v>
      </c>
      <c r="E18">
        <v>0.75</v>
      </c>
      <c r="F18">
        <v>4</v>
      </c>
      <c r="G18" s="20">
        <f t="shared" si="1"/>
        <v>3</v>
      </c>
      <c r="H18">
        <f t="shared" si="0"/>
        <v>3</v>
      </c>
      <c r="I18" s="13" t="s">
        <v>54</v>
      </c>
    </row>
    <row r="19" spans="1:17" x14ac:dyDescent="0.35">
      <c r="A19" s="14" t="b">
        <v>0</v>
      </c>
      <c r="B19" t="s">
        <v>52</v>
      </c>
      <c r="E19">
        <v>1.1662999999999999</v>
      </c>
      <c r="F19">
        <v>2</v>
      </c>
      <c r="G19" s="20">
        <f t="shared" si="1"/>
        <v>2.34</v>
      </c>
      <c r="H19">
        <f t="shared" si="0"/>
        <v>2.34</v>
      </c>
      <c r="I19" s="13" t="s">
        <v>71</v>
      </c>
    </row>
    <row r="20" spans="1:17" x14ac:dyDescent="0.35">
      <c r="G20" s="20"/>
      <c r="I20" s="13"/>
    </row>
    <row r="21" spans="1:17" x14ac:dyDescent="0.35">
      <c r="A21" s="14" t="b">
        <v>0</v>
      </c>
      <c r="B21" t="s">
        <v>59</v>
      </c>
      <c r="E21">
        <v>10.951000000000001</v>
      </c>
      <c r="F21">
        <v>1</v>
      </c>
      <c r="G21" s="20">
        <f t="shared" si="1"/>
        <v>10.959999999999999</v>
      </c>
      <c r="H21">
        <f t="shared" si="0"/>
        <v>10.959999999999999</v>
      </c>
      <c r="I21" s="13" t="s">
        <v>68</v>
      </c>
    </row>
    <row r="22" spans="1:17" x14ac:dyDescent="0.35">
      <c r="A22" s="14" t="b">
        <v>0</v>
      </c>
      <c r="B22" t="s">
        <v>60</v>
      </c>
      <c r="E22">
        <v>7.3635999999999999</v>
      </c>
      <c r="F22">
        <v>2</v>
      </c>
      <c r="G22" s="20">
        <f t="shared" si="1"/>
        <v>14.73</v>
      </c>
      <c r="H22">
        <f t="shared" si="0"/>
        <v>14.73</v>
      </c>
      <c r="I22" s="13" t="s">
        <v>69</v>
      </c>
    </row>
    <row r="23" spans="1:17" x14ac:dyDescent="0.35">
      <c r="A23" s="14" t="b">
        <v>0</v>
      </c>
      <c r="B23" t="s">
        <v>61</v>
      </c>
      <c r="E23">
        <v>8.8442000000000007</v>
      </c>
      <c r="F23">
        <v>3</v>
      </c>
      <c r="G23" s="20">
        <f t="shared" si="1"/>
        <v>26.540000000000003</v>
      </c>
      <c r="H23">
        <f t="shared" si="0"/>
        <v>26.540000000000003</v>
      </c>
      <c r="I23" t="s">
        <v>70</v>
      </c>
    </row>
    <row r="24" spans="1:17" x14ac:dyDescent="0.35">
      <c r="G24" s="20"/>
    </row>
    <row r="25" spans="1:17" x14ac:dyDescent="0.35">
      <c r="A25" s="14" t="b">
        <v>0</v>
      </c>
      <c r="B25" t="s">
        <v>126</v>
      </c>
      <c r="D25" t="s">
        <v>127</v>
      </c>
      <c r="E25">
        <v>107.87</v>
      </c>
      <c r="F25">
        <v>1</v>
      </c>
      <c r="G25" s="20">
        <f t="shared" ref="G25" si="2">ROUNDUP(F25*E25,2)</f>
        <v>107.87</v>
      </c>
      <c r="H25">
        <f t="shared" ref="H25" si="3">IF(A25,0,G25)</f>
        <v>107.87</v>
      </c>
      <c r="I25" t="s">
        <v>128</v>
      </c>
      <c r="J25" t="s">
        <v>135</v>
      </c>
    </row>
    <row r="26" spans="1:17" x14ac:dyDescent="0.35">
      <c r="G26" s="20"/>
    </row>
    <row r="27" spans="1:17" ht="21" x14ac:dyDescent="0.5">
      <c r="A27" s="3"/>
      <c r="B27" s="6" t="s">
        <v>5</v>
      </c>
      <c r="C27" s="3"/>
      <c r="D27" s="3"/>
      <c r="E27" s="3"/>
      <c r="F27" s="3"/>
      <c r="G27" s="21"/>
      <c r="H27" s="21"/>
      <c r="I27" s="3"/>
      <c r="J27" s="3"/>
      <c r="K27" s="3"/>
      <c r="L27" s="3"/>
      <c r="M27" s="3"/>
      <c r="N27" s="3"/>
      <c r="O27" s="3"/>
      <c r="P27" s="3"/>
      <c r="Q27" s="3"/>
    </row>
    <row r="28" spans="1:17" ht="15" customHeight="1" x14ac:dyDescent="0.35">
      <c r="A28" s="14" t="b">
        <v>0</v>
      </c>
      <c r="B28" t="s">
        <v>55</v>
      </c>
      <c r="E28">
        <v>0.47120000000000001</v>
      </c>
      <c r="F28">
        <v>2</v>
      </c>
      <c r="G28" s="20">
        <f>ROUNDUP(F28*E28,2)</f>
        <v>0.95</v>
      </c>
      <c r="H28">
        <f t="shared" si="0"/>
        <v>0.95</v>
      </c>
      <c r="I28" t="s">
        <v>67</v>
      </c>
    </row>
    <row r="29" spans="1:17" ht="15" customHeight="1" x14ac:dyDescent="0.35">
      <c r="A29" s="14" t="b">
        <v>0</v>
      </c>
      <c r="B29" t="s">
        <v>58</v>
      </c>
      <c r="E29">
        <v>0.72719999999999996</v>
      </c>
      <c r="F29">
        <v>2</v>
      </c>
      <c r="G29" s="20">
        <f t="shared" ref="G29:G31" si="4">ROUNDUP(F29*E29,2)</f>
        <v>1.46</v>
      </c>
      <c r="H29">
        <f t="shared" si="0"/>
        <v>1.46</v>
      </c>
      <c r="I29" t="s">
        <v>66</v>
      </c>
    </row>
    <row r="30" spans="1:17" ht="15" customHeight="1" x14ac:dyDescent="0.35">
      <c r="A30" s="14" t="b">
        <v>0</v>
      </c>
      <c r="B30" t="s">
        <v>57</v>
      </c>
      <c r="E30">
        <v>0.98140000000000005</v>
      </c>
      <c r="F30">
        <v>2</v>
      </c>
      <c r="G30" s="20">
        <f t="shared" si="4"/>
        <v>1.97</v>
      </c>
      <c r="H30">
        <f t="shared" si="0"/>
        <v>1.97</v>
      </c>
      <c r="I30" t="s">
        <v>65</v>
      </c>
    </row>
    <row r="31" spans="1:17" ht="15" customHeight="1" x14ac:dyDescent="0.35">
      <c r="A31" s="14" t="b">
        <v>0</v>
      </c>
      <c r="B31" t="s">
        <v>56</v>
      </c>
      <c r="E31">
        <v>0.82850000000000001</v>
      </c>
      <c r="F31">
        <v>4</v>
      </c>
      <c r="G31" s="20">
        <f t="shared" si="4"/>
        <v>3.32</v>
      </c>
      <c r="H31">
        <f t="shared" si="0"/>
        <v>3.32</v>
      </c>
      <c r="I31" t="s">
        <v>64</v>
      </c>
    </row>
    <row r="32" spans="1:17" ht="15" customHeight="1" x14ac:dyDescent="0.35">
      <c r="G32" s="20"/>
    </row>
    <row r="33" spans="1:17" ht="21" customHeight="1" x14ac:dyDescent="0.5">
      <c r="A33" s="11"/>
      <c r="B33" s="12" t="s">
        <v>12</v>
      </c>
      <c r="C33" s="11"/>
      <c r="D33" s="11"/>
      <c r="E33" s="11"/>
      <c r="F33" s="11"/>
      <c r="G33" s="22"/>
      <c r="H33" s="22"/>
      <c r="I33" s="11"/>
      <c r="J33" s="11"/>
      <c r="K33" s="11"/>
      <c r="L33" s="11"/>
      <c r="M33" s="11"/>
      <c r="N33" s="11"/>
      <c r="O33" s="11"/>
      <c r="P33" s="11"/>
      <c r="Q33" s="11"/>
    </row>
    <row r="34" spans="1:17" ht="15" customHeight="1" x14ac:dyDescent="0.35">
      <c r="G34" s="20"/>
    </row>
    <row r="35" spans="1:17" ht="15" customHeight="1" x14ac:dyDescent="0.35">
      <c r="A35" s="14" t="b">
        <v>0</v>
      </c>
      <c r="B35" t="s">
        <v>40</v>
      </c>
      <c r="D35" t="s">
        <v>41</v>
      </c>
      <c r="E35">
        <v>2.39</v>
      </c>
      <c r="F35">
        <v>1</v>
      </c>
      <c r="G35" s="20">
        <f>E35*F35</f>
        <v>2.39</v>
      </c>
      <c r="H35">
        <f t="shared" si="0"/>
        <v>2.39</v>
      </c>
      <c r="I35" s="13" t="s">
        <v>42</v>
      </c>
    </row>
    <row r="36" spans="1:17" ht="15" customHeight="1" x14ac:dyDescent="0.35">
      <c r="A36" s="14" t="b">
        <v>0</v>
      </c>
      <c r="B36" t="s">
        <v>130</v>
      </c>
      <c r="D36" t="s">
        <v>129</v>
      </c>
      <c r="E36">
        <v>7.86</v>
      </c>
      <c r="F36">
        <v>1</v>
      </c>
      <c r="G36" s="20">
        <f>E36*F36</f>
        <v>7.86</v>
      </c>
      <c r="H36">
        <f t="shared" si="0"/>
        <v>7.86</v>
      </c>
      <c r="I36" s="13" t="s">
        <v>131</v>
      </c>
      <c r="J36" t="s">
        <v>132</v>
      </c>
    </row>
    <row r="37" spans="1:17" x14ac:dyDescent="0.35">
      <c r="G37" s="20"/>
    </row>
    <row r="38" spans="1:17" x14ac:dyDescent="0.35">
      <c r="A38" s="14" t="b">
        <v>0</v>
      </c>
      <c r="B38" t="s">
        <v>78</v>
      </c>
      <c r="C38" t="s">
        <v>79</v>
      </c>
      <c r="E38">
        <v>2.5499999999999998E-2</v>
      </c>
      <c r="F38">
        <v>12</v>
      </c>
      <c r="G38" s="20">
        <f t="shared" ref="G38:G41" si="5">ROUNDUP(F38*E38,2)</f>
        <v>0.31</v>
      </c>
      <c r="H38">
        <f t="shared" si="0"/>
        <v>0.31</v>
      </c>
    </row>
    <row r="39" spans="1:17" x14ac:dyDescent="0.35">
      <c r="A39" s="14" t="b">
        <v>0</v>
      </c>
      <c r="B39" t="s">
        <v>80</v>
      </c>
      <c r="C39" t="s">
        <v>79</v>
      </c>
      <c r="E39">
        <v>1.67E-2</v>
      </c>
      <c r="F39">
        <v>14</v>
      </c>
      <c r="G39" s="20">
        <f>ROUNDUP(F39*E39,2)</f>
        <v>0.24000000000000002</v>
      </c>
      <c r="H39">
        <f t="shared" si="0"/>
        <v>0.24000000000000002</v>
      </c>
    </row>
    <row r="40" spans="1:17" x14ac:dyDescent="0.35">
      <c r="A40" s="14" t="b">
        <v>0</v>
      </c>
      <c r="B40" t="s">
        <v>81</v>
      </c>
      <c r="C40" t="s">
        <v>79</v>
      </c>
      <c r="E40">
        <v>1.5900000000000001E-2</v>
      </c>
      <c r="F40">
        <v>60</v>
      </c>
      <c r="G40" s="20">
        <f t="shared" si="5"/>
        <v>0.96</v>
      </c>
      <c r="H40">
        <f t="shared" si="0"/>
        <v>0.96</v>
      </c>
    </row>
    <row r="41" spans="1:17" x14ac:dyDescent="0.35">
      <c r="A41" s="14" t="b">
        <v>0</v>
      </c>
      <c r="B41" t="s">
        <v>82</v>
      </c>
      <c r="E41">
        <v>9.9000000000000008E-3</v>
      </c>
      <c r="F41">
        <v>54</v>
      </c>
      <c r="G41" s="20">
        <f t="shared" si="5"/>
        <v>0.54</v>
      </c>
      <c r="H41">
        <f t="shared" si="0"/>
        <v>0.54</v>
      </c>
      <c r="I41" t="s">
        <v>99</v>
      </c>
    </row>
    <row r="42" spans="1:17" x14ac:dyDescent="0.35">
      <c r="G42" s="20"/>
    </row>
    <row r="43" spans="1:17" x14ac:dyDescent="0.35">
      <c r="G43" s="20"/>
    </row>
    <row r="44" spans="1:17" x14ac:dyDescent="0.35">
      <c r="A44" s="14" t="b">
        <v>0</v>
      </c>
      <c r="B44" t="s">
        <v>83</v>
      </c>
      <c r="C44" t="s">
        <v>79</v>
      </c>
      <c r="E44">
        <v>0.156</v>
      </c>
      <c r="F44">
        <v>14</v>
      </c>
      <c r="G44" s="20">
        <f t="shared" ref="G44:G46" si="6">ROUNDUP(F44*E44,2)</f>
        <v>2.19</v>
      </c>
      <c r="H44">
        <f t="shared" si="0"/>
        <v>2.19</v>
      </c>
      <c r="I44" t="s">
        <v>111</v>
      </c>
    </row>
    <row r="45" spans="1:17" x14ac:dyDescent="0.35">
      <c r="A45" s="14" t="b">
        <v>0</v>
      </c>
      <c r="B45" t="s">
        <v>84</v>
      </c>
      <c r="C45" t="s">
        <v>79</v>
      </c>
      <c r="E45">
        <v>0.14199999999999999</v>
      </c>
      <c r="F45">
        <v>5</v>
      </c>
      <c r="G45" s="20">
        <f t="shared" si="6"/>
        <v>0.71</v>
      </c>
      <c r="H45">
        <f t="shared" si="0"/>
        <v>0.71</v>
      </c>
      <c r="I45" s="13" t="s">
        <v>112</v>
      </c>
    </row>
    <row r="46" spans="1:17" x14ac:dyDescent="0.35">
      <c r="A46" s="14" t="b">
        <v>0</v>
      </c>
      <c r="B46" t="s">
        <v>85</v>
      </c>
      <c r="E46">
        <v>8.2000000000000007E-3</v>
      </c>
      <c r="F46">
        <v>20</v>
      </c>
      <c r="G46" s="20">
        <f t="shared" si="6"/>
        <v>0.17</v>
      </c>
      <c r="H46">
        <f t="shared" si="0"/>
        <v>0.17</v>
      </c>
      <c r="I46" t="s">
        <v>100</v>
      </c>
    </row>
    <row r="47" spans="1:17" x14ac:dyDescent="0.35">
      <c r="G47" s="20"/>
    </row>
    <row r="48" spans="1:17" x14ac:dyDescent="0.35">
      <c r="A48" s="14" t="b">
        <v>0</v>
      </c>
      <c r="B48" t="s">
        <v>86</v>
      </c>
      <c r="C48" t="s">
        <v>79</v>
      </c>
      <c r="E48">
        <v>2.69E-2</v>
      </c>
      <c r="F48">
        <v>11</v>
      </c>
      <c r="G48" s="20">
        <f t="shared" ref="G48:G57" si="7">ROUNDUP(F48*E48,2)</f>
        <v>0.3</v>
      </c>
      <c r="H48">
        <f t="shared" si="0"/>
        <v>0.3</v>
      </c>
      <c r="I48" s="13" t="s">
        <v>110</v>
      </c>
    </row>
    <row r="49" spans="1:17" x14ac:dyDescent="0.35">
      <c r="A49" s="14" t="b">
        <v>0</v>
      </c>
      <c r="B49" t="s">
        <v>87</v>
      </c>
      <c r="C49" t="s">
        <v>79</v>
      </c>
      <c r="E49">
        <v>2.7300000000000001E-2</v>
      </c>
      <c r="F49">
        <v>5</v>
      </c>
      <c r="G49" s="20">
        <f t="shared" si="7"/>
        <v>0.14000000000000001</v>
      </c>
      <c r="H49">
        <f t="shared" si="0"/>
        <v>0.14000000000000001</v>
      </c>
      <c r="I49" s="13" t="s">
        <v>109</v>
      </c>
    </row>
    <row r="50" spans="1:17" x14ac:dyDescent="0.35">
      <c r="A50" s="14" t="b">
        <v>0</v>
      </c>
      <c r="B50" t="s">
        <v>88</v>
      </c>
      <c r="C50" t="s">
        <v>79</v>
      </c>
      <c r="E50">
        <v>2.2200000000000001E-2</v>
      </c>
      <c r="F50">
        <v>8</v>
      </c>
      <c r="G50" s="20">
        <f t="shared" si="7"/>
        <v>0.18000000000000002</v>
      </c>
      <c r="H50">
        <f t="shared" si="0"/>
        <v>0.18000000000000002</v>
      </c>
      <c r="I50" s="13" t="s">
        <v>108</v>
      </c>
    </row>
    <row r="51" spans="1:17" x14ac:dyDescent="0.35">
      <c r="A51" s="14" t="b">
        <v>0</v>
      </c>
      <c r="B51" t="s">
        <v>89</v>
      </c>
      <c r="C51" t="s">
        <v>79</v>
      </c>
      <c r="E51">
        <v>1.78E-2</v>
      </c>
      <c r="F51">
        <v>7</v>
      </c>
      <c r="G51" s="20">
        <f t="shared" si="7"/>
        <v>0.13</v>
      </c>
      <c r="H51">
        <f t="shared" si="0"/>
        <v>0.13</v>
      </c>
      <c r="I51" s="13" t="s">
        <v>107</v>
      </c>
    </row>
    <row r="52" spans="1:17" x14ac:dyDescent="0.35">
      <c r="A52" s="14" t="b">
        <v>0</v>
      </c>
      <c r="B52" t="s">
        <v>90</v>
      </c>
      <c r="C52" t="s">
        <v>79</v>
      </c>
      <c r="E52">
        <v>1.6899999999999998E-2</v>
      </c>
      <c r="F52">
        <v>8</v>
      </c>
      <c r="G52" s="20">
        <f t="shared" si="7"/>
        <v>0.14000000000000001</v>
      </c>
      <c r="H52">
        <f t="shared" si="0"/>
        <v>0.14000000000000001</v>
      </c>
      <c r="I52" s="13" t="s">
        <v>106</v>
      </c>
    </row>
    <row r="53" spans="1:17" x14ac:dyDescent="0.35">
      <c r="A53" s="14" t="b">
        <v>0</v>
      </c>
      <c r="B53" t="s">
        <v>91</v>
      </c>
      <c r="C53" t="s">
        <v>79</v>
      </c>
      <c r="E53">
        <v>1.43E-2</v>
      </c>
      <c r="F53">
        <v>3</v>
      </c>
      <c r="G53" s="20">
        <f t="shared" si="7"/>
        <v>0.05</v>
      </c>
      <c r="H53">
        <f t="shared" si="0"/>
        <v>0.05</v>
      </c>
      <c r="I53" s="13" t="s">
        <v>105</v>
      </c>
    </row>
    <row r="54" spans="1:17" x14ac:dyDescent="0.35">
      <c r="A54" s="14" t="b">
        <v>0</v>
      </c>
      <c r="B54" t="s">
        <v>92</v>
      </c>
      <c r="C54" t="s">
        <v>79</v>
      </c>
      <c r="E54">
        <v>1.4200000000000001E-2</v>
      </c>
      <c r="F54">
        <v>23</v>
      </c>
      <c r="G54" s="20">
        <f t="shared" si="7"/>
        <v>0.33</v>
      </c>
      <c r="H54">
        <f t="shared" si="0"/>
        <v>0.33</v>
      </c>
      <c r="I54" s="13" t="s">
        <v>104</v>
      </c>
    </row>
    <row r="55" spans="1:17" x14ac:dyDescent="0.35">
      <c r="A55" s="14" t="b">
        <v>0</v>
      </c>
      <c r="B55" t="s">
        <v>93</v>
      </c>
      <c r="C55" t="s">
        <v>79</v>
      </c>
      <c r="E55">
        <v>0.128</v>
      </c>
      <c r="F55">
        <v>70</v>
      </c>
      <c r="G55" s="20">
        <f t="shared" si="7"/>
        <v>8.9600000000000009</v>
      </c>
      <c r="H55">
        <f t="shared" si="0"/>
        <v>8.9600000000000009</v>
      </c>
      <c r="I55" s="13" t="s">
        <v>103</v>
      </c>
    </row>
    <row r="56" spans="1:17" x14ac:dyDescent="0.35">
      <c r="A56" s="14" t="b">
        <v>0</v>
      </c>
      <c r="B56" t="s">
        <v>94</v>
      </c>
      <c r="C56" t="s">
        <v>79</v>
      </c>
      <c r="E56">
        <v>1.1299999999999999E-2</v>
      </c>
      <c r="F56">
        <v>57</v>
      </c>
      <c r="G56" s="20">
        <f t="shared" si="7"/>
        <v>0.65</v>
      </c>
      <c r="H56">
        <f t="shared" si="0"/>
        <v>0.65</v>
      </c>
      <c r="I56" s="13" t="s">
        <v>102</v>
      </c>
    </row>
    <row r="57" spans="1:17" x14ac:dyDescent="0.35">
      <c r="A57" s="14" t="b">
        <v>0</v>
      </c>
      <c r="B57" t="s">
        <v>95</v>
      </c>
      <c r="C57" t="s">
        <v>79</v>
      </c>
      <c r="E57">
        <v>1.2699999999999999E-2</v>
      </c>
      <c r="F57">
        <v>52</v>
      </c>
      <c r="G57" s="20">
        <f t="shared" si="7"/>
        <v>0.67</v>
      </c>
      <c r="H57">
        <f t="shared" si="0"/>
        <v>0.67</v>
      </c>
      <c r="I57" t="s">
        <v>101</v>
      </c>
    </row>
    <row r="58" spans="1:17" x14ac:dyDescent="0.35">
      <c r="A58" s="14" t="b">
        <v>0</v>
      </c>
      <c r="B58" t="s">
        <v>96</v>
      </c>
      <c r="E58">
        <v>1.3599999999999999E-2</v>
      </c>
      <c r="F58">
        <v>70</v>
      </c>
      <c r="G58" s="20">
        <f>ROUNDUP(F58*E58,2)</f>
        <v>0.96</v>
      </c>
      <c r="H58">
        <f t="shared" si="0"/>
        <v>0.96</v>
      </c>
    </row>
    <row r="59" spans="1:17" x14ac:dyDescent="0.35">
      <c r="H59">
        <f t="shared" si="0"/>
        <v>0</v>
      </c>
    </row>
    <row r="60" spans="1:17" ht="21" x14ac:dyDescent="0.5">
      <c r="A60" s="4"/>
      <c r="B60" s="7" t="s">
        <v>6</v>
      </c>
      <c r="C60" s="4"/>
      <c r="D60" s="4"/>
      <c r="E60" s="4"/>
      <c r="F60" s="4"/>
      <c r="G60" s="23"/>
      <c r="H60" s="23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5">
      <c r="A61" s="14" t="b">
        <v>0</v>
      </c>
      <c r="B61" t="s">
        <v>124</v>
      </c>
      <c r="E61">
        <v>5.25</v>
      </c>
      <c r="F61">
        <v>1</v>
      </c>
      <c r="G61" s="20">
        <f>E61*F61</f>
        <v>5.25</v>
      </c>
      <c r="H61">
        <f t="shared" ref="H61" si="8">IF(A61,0,G61)</f>
        <v>5.25</v>
      </c>
      <c r="I61" t="s">
        <v>125</v>
      </c>
    </row>
    <row r="62" spans="1:17" x14ac:dyDescent="0.35">
      <c r="A62" s="14" t="b">
        <v>0</v>
      </c>
      <c r="B62" t="s">
        <v>43</v>
      </c>
      <c r="E62">
        <v>2.0499999999999998</v>
      </c>
      <c r="F62">
        <v>1</v>
      </c>
      <c r="G62" s="20">
        <f>E62*F62</f>
        <v>2.0499999999999998</v>
      </c>
      <c r="H62">
        <f t="shared" ref="H62:H70" si="9">IF(A62,0,G62)</f>
        <v>2.0499999999999998</v>
      </c>
      <c r="I62" t="s">
        <v>44</v>
      </c>
    </row>
    <row r="63" spans="1:17" x14ac:dyDescent="0.35">
      <c r="A63" s="14" t="b">
        <v>0</v>
      </c>
      <c r="B63" t="s">
        <v>62</v>
      </c>
      <c r="E63">
        <v>2.5099999999999998</v>
      </c>
      <c r="F63">
        <v>1</v>
      </c>
      <c r="G63" s="20">
        <f>E63*F63</f>
        <v>2.5099999999999998</v>
      </c>
      <c r="H63">
        <f t="shared" si="9"/>
        <v>2.5099999999999998</v>
      </c>
      <c r="I63" t="s">
        <v>114</v>
      </c>
    </row>
    <row r="64" spans="1:17" x14ac:dyDescent="0.35">
      <c r="A64" s="14" t="b">
        <v>0</v>
      </c>
      <c r="B64" t="s">
        <v>62</v>
      </c>
      <c r="E64">
        <v>2.5099999999999998</v>
      </c>
      <c r="F64">
        <v>1</v>
      </c>
      <c r="G64" s="20">
        <f>E64*F64</f>
        <v>2.5099999999999998</v>
      </c>
      <c r="H64">
        <f t="shared" si="9"/>
        <v>2.5099999999999998</v>
      </c>
      <c r="I64" t="s">
        <v>114</v>
      </c>
    </row>
    <row r="65" spans="1:17" x14ac:dyDescent="0.35">
      <c r="A65" s="14" t="b">
        <v>0</v>
      </c>
      <c r="B65" t="s">
        <v>115</v>
      </c>
      <c r="E65">
        <v>5.69</v>
      </c>
      <c r="F65">
        <v>1</v>
      </c>
      <c r="G65" s="20">
        <f t="shared" ref="G65:G66" si="10">E65*F65</f>
        <v>5.69</v>
      </c>
      <c r="H65">
        <f t="shared" si="9"/>
        <v>5.69</v>
      </c>
      <c r="I65" t="s">
        <v>116</v>
      </c>
    </row>
    <row r="66" spans="1:17" x14ac:dyDescent="0.35">
      <c r="A66" s="14" t="b">
        <v>0</v>
      </c>
      <c r="B66" t="s">
        <v>117</v>
      </c>
      <c r="E66">
        <v>5.7</v>
      </c>
      <c r="F66">
        <v>1</v>
      </c>
      <c r="G66" s="20">
        <f t="shared" si="10"/>
        <v>5.7</v>
      </c>
      <c r="H66">
        <f t="shared" si="9"/>
        <v>5.7</v>
      </c>
      <c r="I66" t="s">
        <v>116</v>
      </c>
    </row>
    <row r="67" spans="1:17" x14ac:dyDescent="0.35">
      <c r="A67" s="14" t="b">
        <v>0</v>
      </c>
      <c r="B67" t="s">
        <v>118</v>
      </c>
      <c r="E67">
        <v>0</v>
      </c>
      <c r="G67" s="20"/>
      <c r="H67">
        <f t="shared" si="9"/>
        <v>0</v>
      </c>
      <c r="I67" t="s">
        <v>119</v>
      </c>
    </row>
    <row r="68" spans="1:17" x14ac:dyDescent="0.35">
      <c r="A68" s="14" t="b">
        <v>0</v>
      </c>
      <c r="B68" t="s">
        <v>120</v>
      </c>
      <c r="E68">
        <v>42.73</v>
      </c>
      <c r="F68">
        <v>1</v>
      </c>
      <c r="G68" s="20">
        <f>F68*E68</f>
        <v>42.73</v>
      </c>
      <c r="H68">
        <f t="shared" si="9"/>
        <v>42.73</v>
      </c>
      <c r="I68" s="13" t="s">
        <v>121</v>
      </c>
    </row>
    <row r="69" spans="1:17" x14ac:dyDescent="0.35">
      <c r="A69" s="14" t="b">
        <v>0</v>
      </c>
      <c r="B69" t="s">
        <v>122</v>
      </c>
      <c r="E69">
        <v>44.2</v>
      </c>
      <c r="F69">
        <v>1</v>
      </c>
      <c r="G69" s="20">
        <f t="shared" ref="G69:G70" si="11">F69*E69</f>
        <v>44.2</v>
      </c>
      <c r="H69">
        <f t="shared" si="9"/>
        <v>44.2</v>
      </c>
      <c r="I69" t="s">
        <v>121</v>
      </c>
    </row>
    <row r="70" spans="1:17" x14ac:dyDescent="0.35">
      <c r="A70" s="14" t="b">
        <v>0</v>
      </c>
      <c r="B70" t="s">
        <v>16</v>
      </c>
      <c r="E70">
        <v>24.03</v>
      </c>
      <c r="F70">
        <v>1</v>
      </c>
      <c r="G70" s="20">
        <f t="shared" si="11"/>
        <v>24.03</v>
      </c>
      <c r="H70">
        <f t="shared" si="9"/>
        <v>24.03</v>
      </c>
      <c r="I70" s="13" t="s">
        <v>18</v>
      </c>
      <c r="J70" t="s">
        <v>123</v>
      </c>
    </row>
    <row r="71" spans="1:17" x14ac:dyDescent="0.35">
      <c r="A71" s="14" t="b">
        <v>0</v>
      </c>
      <c r="B71" t="s">
        <v>133</v>
      </c>
      <c r="C71" t="s">
        <v>20</v>
      </c>
      <c r="E71">
        <v>7.39</v>
      </c>
      <c r="F71">
        <v>1</v>
      </c>
      <c r="G71" s="20">
        <f t="shared" ref="G71:G72" si="12">F71*E71</f>
        <v>7.39</v>
      </c>
      <c r="H71">
        <f t="shared" ref="H71:H72" si="13">IF(A71,0,G71)</f>
        <v>7.39</v>
      </c>
      <c r="I71" t="s">
        <v>17</v>
      </c>
    </row>
    <row r="72" spans="1:17" x14ac:dyDescent="0.35">
      <c r="A72" s="14" t="b">
        <v>0</v>
      </c>
      <c r="B72" t="s">
        <v>134</v>
      </c>
      <c r="C72" t="s">
        <v>24</v>
      </c>
      <c r="E72">
        <v>21.72</v>
      </c>
      <c r="F72">
        <v>4</v>
      </c>
      <c r="G72" s="20">
        <f t="shared" si="12"/>
        <v>86.88</v>
      </c>
      <c r="H72">
        <f t="shared" si="13"/>
        <v>86.88</v>
      </c>
      <c r="I72" t="s">
        <v>19</v>
      </c>
    </row>
    <row r="73" spans="1:17" x14ac:dyDescent="0.35">
      <c r="G73" s="20"/>
    </row>
    <row r="74" spans="1:17" x14ac:dyDescent="0.35">
      <c r="G74" s="20"/>
    </row>
    <row r="76" spans="1:17" ht="21" x14ac:dyDescent="0.5">
      <c r="A76" s="15"/>
      <c r="B76" s="16" t="s">
        <v>21</v>
      </c>
      <c r="C76" s="15"/>
      <c r="D76" s="15"/>
      <c r="E76" s="15"/>
      <c r="F76" s="15"/>
      <c r="G76" s="24"/>
      <c r="H76" s="24"/>
      <c r="I76" s="15"/>
      <c r="J76" s="15"/>
      <c r="K76" s="15"/>
      <c r="L76" s="15"/>
      <c r="M76" s="15"/>
      <c r="N76" s="15"/>
      <c r="O76" s="15"/>
      <c r="P76" s="15"/>
      <c r="Q76" s="15"/>
    </row>
    <row r="77" spans="1:17" x14ac:dyDescent="0.35">
      <c r="A77" s="14" t="b">
        <v>0</v>
      </c>
      <c r="B77" t="s">
        <v>15</v>
      </c>
      <c r="E77">
        <v>64.989999999999995</v>
      </c>
      <c r="F77">
        <v>1</v>
      </c>
      <c r="G77" s="20">
        <f>E77*F77</f>
        <v>64.989999999999995</v>
      </c>
      <c r="H77">
        <f>IF(A77,0,G77)</f>
        <v>64.989999999999995</v>
      </c>
      <c r="I77" t="s">
        <v>13</v>
      </c>
      <c r="J77" t="s">
        <v>14</v>
      </c>
    </row>
    <row r="78" spans="1:17" x14ac:dyDescent="0.35">
      <c r="A78" s="14" t="b">
        <v>0</v>
      </c>
      <c r="B78" t="s">
        <v>25</v>
      </c>
      <c r="E78">
        <v>13.85</v>
      </c>
      <c r="F78">
        <v>1</v>
      </c>
      <c r="G78" s="20">
        <f>E78*F78</f>
        <v>13.85</v>
      </c>
      <c r="H78">
        <f>IF(A78,0,G78)</f>
        <v>13.85</v>
      </c>
      <c r="I78" s="13" t="s">
        <v>26</v>
      </c>
      <c r="J78" t="s">
        <v>27</v>
      </c>
    </row>
    <row r="79" spans="1:17" x14ac:dyDescent="0.35">
      <c r="A79" s="14" t="b">
        <v>0</v>
      </c>
      <c r="B79" t="s">
        <v>30</v>
      </c>
      <c r="E79">
        <v>2.37</v>
      </c>
      <c r="F79">
        <v>1</v>
      </c>
      <c r="G79" s="20">
        <f>F79*E79</f>
        <v>2.37</v>
      </c>
      <c r="H79">
        <f>IF(A79,0,G79)</f>
        <v>2.37</v>
      </c>
      <c r="I79" t="s">
        <v>31</v>
      </c>
      <c r="J79" t="s">
        <v>32</v>
      </c>
    </row>
    <row r="80" spans="1:17" x14ac:dyDescent="0.35">
      <c r="A80" s="14" t="b">
        <v>0</v>
      </c>
      <c r="B80" t="s">
        <v>33</v>
      </c>
      <c r="E80">
        <v>1.62</v>
      </c>
      <c r="F80">
        <v>1</v>
      </c>
      <c r="G80" s="20">
        <f>F80*E80</f>
        <v>1.62</v>
      </c>
      <c r="H80">
        <f>IF(A80,0,G80)</f>
        <v>1.62</v>
      </c>
      <c r="I80" t="s">
        <v>34</v>
      </c>
      <c r="J80" t="s">
        <v>35</v>
      </c>
    </row>
    <row r="81" spans="1:17" x14ac:dyDescent="0.35">
      <c r="A81" s="14" t="b">
        <v>0</v>
      </c>
      <c r="B81" s="17" t="s">
        <v>45</v>
      </c>
      <c r="E81">
        <v>24.11</v>
      </c>
      <c r="F81">
        <v>1</v>
      </c>
      <c r="G81" s="20">
        <f>F81*E81</f>
        <v>24.11</v>
      </c>
      <c r="H81">
        <f>IF(A81,0,G81)</f>
        <v>24.11</v>
      </c>
      <c r="I81" s="18" t="s">
        <v>46</v>
      </c>
      <c r="J81" t="s">
        <v>47</v>
      </c>
    </row>
    <row r="82" spans="1:17" x14ac:dyDescent="0.35">
      <c r="G82" s="20"/>
    </row>
    <row r="83" spans="1:17" x14ac:dyDescent="0.35">
      <c r="G83" s="20"/>
    </row>
    <row r="84" spans="1:17" x14ac:dyDescent="0.35">
      <c r="G84" s="20"/>
    </row>
    <row r="85" spans="1:17" ht="21" x14ac:dyDescent="0.5">
      <c r="A85" s="5"/>
      <c r="B85" s="8" t="s">
        <v>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5">
      <c r="A86" s="14" t="b">
        <v>0</v>
      </c>
      <c r="B86" t="s">
        <v>22</v>
      </c>
      <c r="E86">
        <v>13.73</v>
      </c>
      <c r="F86">
        <v>1</v>
      </c>
      <c r="G86" s="20">
        <f t="shared" ref="G86:G87" si="14">F86*E86</f>
        <v>13.73</v>
      </c>
      <c r="H86">
        <f>IF(A86,0,G86)</f>
        <v>13.73</v>
      </c>
      <c r="I86" t="s">
        <v>63</v>
      </c>
    </row>
    <row r="87" spans="1:17" x14ac:dyDescent="0.35">
      <c r="A87" s="14" t="b">
        <v>0</v>
      </c>
      <c r="B87" t="s">
        <v>136</v>
      </c>
      <c r="E87">
        <v>1.0900000000000001</v>
      </c>
      <c r="F87">
        <v>1</v>
      </c>
      <c r="G87" s="20">
        <f t="shared" si="14"/>
        <v>1.0900000000000001</v>
      </c>
      <c r="H87">
        <f>IF(A87,0,G87)</f>
        <v>1.0900000000000001</v>
      </c>
      <c r="I87" t="s">
        <v>137</v>
      </c>
    </row>
    <row r="88" spans="1:17" x14ac:dyDescent="0.35">
      <c r="A88" s="14" t="b">
        <v>0</v>
      </c>
      <c r="B88" t="s">
        <v>39</v>
      </c>
      <c r="E88">
        <v>1.94</v>
      </c>
      <c r="F88">
        <v>1</v>
      </c>
      <c r="G88" s="20">
        <v>0</v>
      </c>
      <c r="H88">
        <f>IF(A88,0,G88)</f>
        <v>0</v>
      </c>
      <c r="I88" t="s">
        <v>36</v>
      </c>
      <c r="J88" t="s">
        <v>37</v>
      </c>
      <c r="K88" t="s">
        <v>38</v>
      </c>
    </row>
    <row r="89" spans="1:17" x14ac:dyDescent="0.35">
      <c r="A89" s="14" t="b">
        <v>0</v>
      </c>
      <c r="B89" t="s">
        <v>73</v>
      </c>
      <c r="E89">
        <v>3.03</v>
      </c>
      <c r="F89">
        <v>1</v>
      </c>
      <c r="G89" s="20">
        <f t="shared" ref="G89" si="15">F89*E89</f>
        <v>3.03</v>
      </c>
      <c r="H89">
        <f>IF(A89,0,G89)</f>
        <v>3.03</v>
      </c>
      <c r="I89" t="s">
        <v>72</v>
      </c>
    </row>
    <row r="90" spans="1:17" x14ac:dyDescent="0.35">
      <c r="G90" s="20"/>
    </row>
    <row r="91" spans="1:17" x14ac:dyDescent="0.35">
      <c r="G91" s="20"/>
    </row>
    <row r="92" spans="1:17" x14ac:dyDescent="0.35">
      <c r="G92" s="20"/>
    </row>
    <row r="93" spans="1:17" x14ac:dyDescent="0.35">
      <c r="G93" s="20"/>
    </row>
    <row r="94" spans="1:17" x14ac:dyDescent="0.35">
      <c r="G94" s="20"/>
    </row>
    <row r="95" spans="1:17" x14ac:dyDescent="0.35">
      <c r="G95" s="20"/>
    </row>
    <row r="96" spans="1:17" x14ac:dyDescent="0.35">
      <c r="G96" s="20"/>
    </row>
    <row r="97" spans="7:7" x14ac:dyDescent="0.35">
      <c r="G97" s="20"/>
    </row>
    <row r="98" spans="7:7" x14ac:dyDescent="0.35">
      <c r="G98" s="20"/>
    </row>
    <row r="99" spans="7:7" x14ac:dyDescent="0.35">
      <c r="G99" s="20"/>
    </row>
    <row r="100" spans="7:7" x14ac:dyDescent="0.35">
      <c r="G100" s="20"/>
    </row>
    <row r="101" spans="7:7" x14ac:dyDescent="0.35">
      <c r="G101" s="20"/>
    </row>
    <row r="102" spans="7:7" x14ac:dyDescent="0.35">
      <c r="G102" s="20"/>
    </row>
    <row r="103" spans="7:7" x14ac:dyDescent="0.35">
      <c r="G103" s="20"/>
    </row>
    <row r="104" spans="7:7" x14ac:dyDescent="0.35">
      <c r="G104" s="20"/>
    </row>
    <row r="105" spans="7:7" x14ac:dyDescent="0.35">
      <c r="G105" s="20"/>
    </row>
    <row r="106" spans="7:7" x14ac:dyDescent="0.35">
      <c r="G106" s="20"/>
    </row>
    <row r="107" spans="7:7" x14ac:dyDescent="0.35">
      <c r="G107" s="20"/>
    </row>
    <row r="108" spans="7:7" x14ac:dyDescent="0.35">
      <c r="G108" s="20"/>
    </row>
    <row r="109" spans="7:7" x14ac:dyDescent="0.35">
      <c r="G109" s="20"/>
    </row>
    <row r="110" spans="7:7" x14ac:dyDescent="0.35">
      <c r="G110" s="20"/>
    </row>
    <row r="111" spans="7:7" x14ac:dyDescent="0.35">
      <c r="G111" s="20"/>
    </row>
    <row r="112" spans="7:7" x14ac:dyDescent="0.35">
      <c r="G112" s="20"/>
    </row>
    <row r="113" spans="7:7" x14ac:dyDescent="0.35">
      <c r="G113" s="20"/>
    </row>
    <row r="114" spans="7:7" x14ac:dyDescent="0.35">
      <c r="G114" s="20"/>
    </row>
    <row r="115" spans="7:7" x14ac:dyDescent="0.35">
      <c r="G115" s="20"/>
    </row>
    <row r="116" spans="7:7" x14ac:dyDescent="0.35">
      <c r="G116" s="20"/>
    </row>
    <row r="117" spans="7:7" x14ac:dyDescent="0.35">
      <c r="G117" s="20"/>
    </row>
    <row r="118" spans="7:7" x14ac:dyDescent="0.35">
      <c r="G118" s="20"/>
    </row>
    <row r="119" spans="7:7" x14ac:dyDescent="0.35">
      <c r="G119" s="20"/>
    </row>
    <row r="120" spans="7:7" x14ac:dyDescent="0.35">
      <c r="G120" s="20"/>
    </row>
    <row r="121" spans="7:7" x14ac:dyDescent="0.35">
      <c r="G121" s="20"/>
    </row>
    <row r="122" spans="7:7" x14ac:dyDescent="0.35">
      <c r="G122" s="20"/>
    </row>
    <row r="123" spans="7:7" x14ac:dyDescent="0.35">
      <c r="G123" s="20"/>
    </row>
    <row r="124" spans="7:7" x14ac:dyDescent="0.35">
      <c r="G124" s="20"/>
    </row>
    <row r="125" spans="7:7" x14ac:dyDescent="0.35">
      <c r="G125" s="20"/>
    </row>
    <row r="126" spans="7:7" x14ac:dyDescent="0.35">
      <c r="G126" s="20"/>
    </row>
    <row r="127" spans="7:7" x14ac:dyDescent="0.35">
      <c r="G127" s="20"/>
    </row>
    <row r="128" spans="7:7" x14ac:dyDescent="0.35">
      <c r="G128" s="20"/>
    </row>
    <row r="129" spans="7:7" x14ac:dyDescent="0.35">
      <c r="G129" s="20"/>
    </row>
    <row r="130" spans="7:7" x14ac:dyDescent="0.35">
      <c r="G130" s="20"/>
    </row>
    <row r="131" spans="7:7" x14ac:dyDescent="0.35">
      <c r="G131" s="20"/>
    </row>
    <row r="132" spans="7:7" x14ac:dyDescent="0.35">
      <c r="G132" s="20"/>
    </row>
    <row r="133" spans="7:7" x14ac:dyDescent="0.35">
      <c r="G133" s="20"/>
    </row>
    <row r="134" spans="7:7" x14ac:dyDescent="0.35">
      <c r="G134" s="20"/>
    </row>
    <row r="135" spans="7:7" x14ac:dyDescent="0.35">
      <c r="G135" s="20"/>
    </row>
    <row r="136" spans="7:7" x14ac:dyDescent="0.35">
      <c r="G136" s="20"/>
    </row>
    <row r="137" spans="7:7" x14ac:dyDescent="0.35">
      <c r="G137" s="20"/>
    </row>
    <row r="138" spans="7:7" x14ac:dyDescent="0.35">
      <c r="G138" s="20"/>
    </row>
    <row r="139" spans="7:7" x14ac:dyDescent="0.35">
      <c r="G139" s="20"/>
    </row>
    <row r="140" spans="7:7" x14ac:dyDescent="0.35">
      <c r="G140" s="20"/>
    </row>
    <row r="141" spans="7:7" x14ac:dyDescent="0.35">
      <c r="G141" s="20"/>
    </row>
    <row r="142" spans="7:7" x14ac:dyDescent="0.35">
      <c r="G142" s="20"/>
    </row>
    <row r="143" spans="7:7" x14ac:dyDescent="0.35">
      <c r="G143" s="20"/>
    </row>
    <row r="144" spans="7:7" x14ac:dyDescent="0.35">
      <c r="G144" s="20"/>
    </row>
    <row r="145" spans="7:7" x14ac:dyDescent="0.35">
      <c r="G145" s="20"/>
    </row>
    <row r="146" spans="7:7" x14ac:dyDescent="0.35">
      <c r="G146" s="20"/>
    </row>
    <row r="147" spans="7:7" x14ac:dyDescent="0.35">
      <c r="G147" s="20"/>
    </row>
    <row r="148" spans="7:7" x14ac:dyDescent="0.35">
      <c r="G148" s="20"/>
    </row>
    <row r="149" spans="7:7" x14ac:dyDescent="0.35">
      <c r="G149" s="20"/>
    </row>
    <row r="150" spans="7:7" x14ac:dyDescent="0.35">
      <c r="G150" s="20"/>
    </row>
    <row r="151" spans="7:7" x14ac:dyDescent="0.35">
      <c r="G151" s="20"/>
    </row>
    <row r="152" spans="7:7" x14ac:dyDescent="0.35">
      <c r="G152" s="20"/>
    </row>
    <row r="153" spans="7:7" x14ac:dyDescent="0.35">
      <c r="G153" s="20"/>
    </row>
    <row r="154" spans="7:7" x14ac:dyDescent="0.35">
      <c r="G154" s="20"/>
    </row>
    <row r="155" spans="7:7" x14ac:dyDescent="0.35">
      <c r="G155" s="20"/>
    </row>
    <row r="156" spans="7:7" x14ac:dyDescent="0.35">
      <c r="G156" s="20"/>
    </row>
    <row r="157" spans="7:7" x14ac:dyDescent="0.35">
      <c r="G157" s="20"/>
    </row>
    <row r="158" spans="7:7" x14ac:dyDescent="0.35">
      <c r="G158" s="20"/>
    </row>
    <row r="159" spans="7:7" x14ac:dyDescent="0.35">
      <c r="G159" s="20"/>
    </row>
  </sheetData>
  <hyperlinks>
    <hyperlink ref="I35" r:id="rId1" xr:uid="{2C3D3AC1-58A4-41B6-91D9-D7EC78DFF675}"/>
    <hyperlink ref="I78" r:id="rId2" xr:uid="{1E435FE0-28C7-4D32-963D-43EE8AE09C44}"/>
    <hyperlink ref="I81" r:id="rId3" xr:uid="{3F2EC9CD-DCBD-4CC7-9769-AB7EAD354F22}"/>
    <hyperlink ref="I14" r:id="rId4" xr:uid="{663C1FD6-EE11-4AC3-9D1C-E9A0572F90CB}"/>
    <hyperlink ref="I56" r:id="rId5" xr:uid="{BE46CE40-F69B-4417-B8B0-A10A96ADD758}"/>
    <hyperlink ref="I55" r:id="rId6" xr:uid="{D8966A2C-0452-4E8D-A9B6-5FD833FDAF2A}"/>
    <hyperlink ref="I54" r:id="rId7" xr:uid="{4F77770D-B899-40AC-ABBC-ED3B9BE225B7}"/>
    <hyperlink ref="I53" r:id="rId8" xr:uid="{5F0884A4-50A7-44DE-9900-E54E09E791E3}"/>
    <hyperlink ref="I52" r:id="rId9" xr:uid="{33A22971-A8BB-4C37-9C87-AACEE93C3A1B}"/>
    <hyperlink ref="I51" r:id="rId10" xr:uid="{1973B787-2FE9-4F2C-B60C-298671CAE224}"/>
    <hyperlink ref="I50" r:id="rId11" xr:uid="{682E187C-0554-40C2-8F1B-D9F909521D9C}"/>
    <hyperlink ref="I49" r:id="rId12" xr:uid="{C1445451-1327-4E0A-B04C-ED4A55C59442}"/>
    <hyperlink ref="I48" r:id="rId13" xr:uid="{FFA70D0E-53EB-4C2B-9B0D-5468FB52224C}"/>
    <hyperlink ref="I45" r:id="rId14" xr:uid="{FDE97150-91E3-469A-9BA4-12D745904B80}"/>
    <hyperlink ref="I70" r:id="rId15" xr:uid="{E1ACDFBE-BF3E-4AC3-A710-EB84AD5338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2026-03-13T18:00:30Z</dcterms:created>
  <dcterms:modified xsi:type="dcterms:W3CDTF">2026-04-05T17:22:08Z</dcterms:modified>
</cp:coreProperties>
</file>