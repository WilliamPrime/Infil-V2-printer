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William\Desktop\gtihub\Infil-V2-printer\"/>
    </mc:Choice>
  </mc:AlternateContent>
  <xr:revisionPtr revIDLastSave="0" documentId="13_ncr:1_{B8EC1403-4C21-4FE4-81B7-7A313606359D}" xr6:coauthVersionLast="47" xr6:coauthVersionMax="47" xr10:uidLastSave="{00000000-0000-0000-0000-000000000000}"/>
  <bookViews>
    <workbookView xWindow="-110" yWindow="-110" windowWidth="25820" windowHeight="14620" activeTab="1" xr2:uid="{80A16C1D-FA00-4BD1-8CF2-E7CFF0DC5DE7}"/>
  </bookViews>
  <sheets>
    <sheet name="MAIN SHEET" sheetId="1" r:id="rId1"/>
    <sheet name="control board and drivers" sheetId="2" r:id="rId2"/>
    <sheet name="Sheet1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0" i="2" l="1"/>
  <c r="O8" i="2"/>
  <c r="V8" i="2" s="1"/>
  <c r="O9" i="2"/>
  <c r="O11" i="2"/>
  <c r="V11" i="2" s="1"/>
  <c r="B8" i="2"/>
  <c r="C8" i="2"/>
  <c r="D8" i="2"/>
  <c r="E8" i="2"/>
  <c r="F8" i="2"/>
  <c r="G8" i="2"/>
  <c r="H8" i="2"/>
  <c r="I8" i="2"/>
  <c r="J8" i="2"/>
  <c r="E6" i="2"/>
  <c r="F6" i="2"/>
  <c r="G6" i="2"/>
  <c r="H6" i="2"/>
  <c r="I6" i="2"/>
  <c r="J6" i="2"/>
  <c r="E7" i="2"/>
  <c r="F7" i="2"/>
  <c r="G7" i="2"/>
  <c r="H7" i="2"/>
  <c r="I7" i="2"/>
  <c r="J7" i="2"/>
  <c r="D7" i="2"/>
  <c r="D6" i="2"/>
  <c r="B6" i="2"/>
  <c r="C6" i="2"/>
  <c r="C7" i="2"/>
  <c r="B7" i="2"/>
  <c r="F15" i="2"/>
  <c r="O16" i="2" s="1"/>
  <c r="V16" i="2" s="1"/>
  <c r="O17" i="2"/>
  <c r="V17" i="2" s="1"/>
  <c r="O19" i="2"/>
  <c r="V19" i="2" s="1"/>
  <c r="O20" i="2"/>
  <c r="V20" i="2" s="1"/>
  <c r="O18" i="2"/>
  <c r="V18" i="2" s="1"/>
  <c r="V9" i="2"/>
  <c r="V10" i="2"/>
  <c r="F11" i="2"/>
  <c r="G55" i="1"/>
  <c r="O15" i="2" l="1"/>
  <c r="V15" i="2" s="1"/>
  <c r="E15" i="2"/>
  <c r="E16" i="2" s="1"/>
  <c r="G16" i="1"/>
  <c r="G13" i="1"/>
  <c r="O14" i="2" l="1"/>
  <c r="V14" i="2" s="1"/>
  <c r="O13" i="2"/>
  <c r="V13" i="2" s="1"/>
  <c r="O12" i="2"/>
  <c r="V12" i="2" s="1"/>
  <c r="O22" i="2" l="1"/>
  <c r="G46" i="1" s="1"/>
  <c r="E5" i="1" s="1"/>
  <c r="F5" i="1" l="1"/>
  <c r="I2" i="2" s="1"/>
  <c r="H2" i="2"/>
</calcChain>
</file>

<file path=xl/sharedStrings.xml><?xml version="1.0" encoding="utf-8"?>
<sst xmlns="http://schemas.openxmlformats.org/spreadsheetml/2006/main" count="114" uniqueCount="90">
  <si>
    <t>MOTION</t>
  </si>
  <si>
    <t>Gt3 belts</t>
  </si>
  <si>
    <t>Cost</t>
  </si>
  <si>
    <t>Quant</t>
  </si>
  <si>
    <t>Total</t>
  </si>
  <si>
    <t>Link</t>
  </si>
  <si>
    <t>Notes</t>
  </si>
  <si>
    <t>https://www.aliexpress.com/item/1005006856153263.html</t>
  </si>
  <si>
    <t>FRAME</t>
  </si>
  <si>
    <t>ELECTRONICS</t>
  </si>
  <si>
    <t>OTHER</t>
  </si>
  <si>
    <t>Total cost</t>
  </si>
  <si>
    <t>total budget</t>
  </si>
  <si>
    <t>remaining budget</t>
  </si>
  <si>
    <t>Toothed 20t idler</t>
  </si>
  <si>
    <t>Smooth 20t idler</t>
  </si>
  <si>
    <t>pk</t>
  </si>
  <si>
    <t>4pack</t>
  </si>
  <si>
    <t>https://www.aliexpress.com/item/33023133633.html</t>
  </si>
  <si>
    <t>allready own</t>
  </si>
  <si>
    <t>625 bearings</t>
  </si>
  <si>
    <t>10pack</t>
  </si>
  <si>
    <t>https://www.aliexpress.com/item/1005008537901204.html</t>
  </si>
  <si>
    <t>"rs" vs "zz", bom optimisation possible</t>
  </si>
  <si>
    <t>might need more belt, can find cheaper not from mellow, bom optimisation possible</t>
  </si>
  <si>
    <t>2020 extrusions</t>
  </si>
  <si>
    <t xml:space="preserve">               </t>
  </si>
  <si>
    <t>FASTENERS</t>
  </si>
  <si>
    <t>m3 x12</t>
  </si>
  <si>
    <t>m3 x16</t>
  </si>
  <si>
    <t>m3 x20</t>
  </si>
  <si>
    <t>m2.5 x8</t>
  </si>
  <si>
    <t>https://peopoly.net/products/magneto-x-lancer-melt-zone?variant=49972216103194</t>
  </si>
  <si>
    <t>120w heater on it, 15 bucks of the prices is shipping</t>
  </si>
  <si>
    <t>peopoly lancer long</t>
  </si>
  <si>
    <t>240w 120mm bed heater</t>
  </si>
  <si>
    <t xml:space="preserve">Custom bed heater from JLC </t>
  </si>
  <si>
    <t>??</t>
  </si>
  <si>
    <t>MBO+DRIVERS+PSU(s)</t>
  </si>
  <si>
    <t>THE EXPENSIVE STUFF</t>
  </si>
  <si>
    <t>mellow D7</t>
  </si>
  <si>
    <t>mellow fly super</t>
  </si>
  <si>
    <t>skr mini e3 v3</t>
  </si>
  <si>
    <t>tmc 2209</t>
  </si>
  <si>
    <t>tmc 5160 48v</t>
  </si>
  <si>
    <t>cost</t>
  </si>
  <si>
    <t>name</t>
  </si>
  <si>
    <t>link</t>
  </si>
  <si>
    <t>24v meanwel</t>
  </si>
  <si>
    <t>48v meanwel</t>
  </si>
  <si>
    <t>48v fake</t>
  </si>
  <si>
    <t>24v fake</t>
  </si>
  <si>
    <t>https://www.aliexpress.com/item/1005008555881867.html</t>
  </si>
  <si>
    <t>https://www.aliexpress.com/item/1005005844078284.html</t>
  </si>
  <si>
    <t>EBB36 toolhead board</t>
  </si>
  <si>
    <t>https://www.aliexpress.com/item/1005005926059630.html</t>
  </si>
  <si>
    <t>https://www.aliexpress.com/item/33028050145.html</t>
  </si>
  <si>
    <t>2 pk</t>
  </si>
  <si>
    <t>6pk</t>
  </si>
  <si>
    <t>4pk</t>
  </si>
  <si>
    <t>https://www.aliexpress.com/item/1005006422323624.html</t>
  </si>
  <si>
    <t>https://www.aliexpress.com/item/1005004431621335.html</t>
  </si>
  <si>
    <t>https://www.aliexpress.com/item/1005004229433552.html</t>
  </si>
  <si>
    <t>2pk</t>
  </si>
  <si>
    <t>48V</t>
  </si>
  <si>
    <t>AWD</t>
  </si>
  <si>
    <t>Genuine 48v</t>
  </si>
  <si>
    <t>Genuine 24v</t>
  </si>
  <si>
    <t>tmc2209</t>
  </si>
  <si>
    <t>tmc5160</t>
  </si>
  <si>
    <t>EBB36 toolhead</t>
  </si>
  <si>
    <t>z + e</t>
  </si>
  <si>
    <t>xy</t>
  </si>
  <si>
    <t>quant</t>
  </si>
  <si>
    <t>total cost</t>
  </si>
  <si>
    <t>temp</t>
  </si>
  <si>
    <t>error</t>
  </si>
  <si>
    <t>Toolhead</t>
  </si>
  <si>
    <t>voron 0 bed</t>
  </si>
  <si>
    <t>Length calculations</t>
  </si>
  <si>
    <t>Width</t>
  </si>
  <si>
    <t>DESIRED</t>
  </si>
  <si>
    <t>Height</t>
  </si>
  <si>
    <t>Name / spec</t>
  </si>
  <si>
    <t>MGN9C</t>
  </si>
  <si>
    <t>NGN9C</t>
  </si>
  <si>
    <t>MGN9H</t>
  </si>
  <si>
    <t>Carridge</t>
  </si>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</sst>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1"/>
      <name val="Aptos Display"/>
      <family val="2"/>
      <scheme val="major"/>
    </font>
    <font>
      <i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20"/>
      <color theme="1"/>
      <name val="Aptos Display"/>
      <family val="2"/>
      <scheme val="maj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2">
    <xf numFmtId="0" fontId="0" fillId="0" borderId="0" xfId="0"/>
    <xf numFmtId="0" fontId="0" fillId="2" borderId="0" xfId="0" applyFill="1"/>
    <xf numFmtId="0" fontId="2" fillId="2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3" borderId="0" xfId="0" applyFont="1" applyFill="1"/>
    <xf numFmtId="0" fontId="2" fillId="4" borderId="0" xfId="0" applyFont="1" applyFill="1"/>
    <xf numFmtId="0" fontId="2" fillId="5" borderId="0" xfId="0" applyFont="1" applyFill="1"/>
    <xf numFmtId="0" fontId="0" fillId="0" borderId="0" xfId="0" applyAlignment="1">
      <alignment horizontal="left"/>
    </xf>
    <xf numFmtId="0" fontId="3" fillId="0" borderId="0" xfId="0" applyFont="1"/>
    <xf numFmtId="0" fontId="0" fillId="6" borderId="0" xfId="0" applyFill="1"/>
    <xf numFmtId="0" fontId="2" fillId="6" borderId="0" xfId="0" applyFont="1" applyFill="1"/>
    <xf numFmtId="0" fontId="0" fillId="7" borderId="0" xfId="0" applyFill="1"/>
    <xf numFmtId="0" fontId="5" fillId="7" borderId="0" xfId="0" applyFont="1" applyFill="1"/>
    <xf numFmtId="0" fontId="4" fillId="0" borderId="0" xfId="1"/>
    <xf numFmtId="0" fontId="0" fillId="0" borderId="0" xfId="0" applyAlignment="1">
      <alignment horizontal="right"/>
    </xf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0" xfId="0" applyFont="1"/>
    <xf numFmtId="0" fontId="0" fillId="8" borderId="0" xfId="0" applyFill="1"/>
    <xf numFmtId="0" fontId="2" fillId="8" borderId="0" xfId="0" applyFont="1" applyFill="1"/>
    <xf numFmtId="0" fontId="6" fillId="0" borderId="0" xfId="0" applyFont="1"/>
  </cellXfs>
  <cellStyles count="2">
    <cellStyle name="Hyperlink" xfId="1" builtinId="8"/>
    <cellStyle name="Normal" xfId="0" builtinId="0"/>
  </cellStyles>
  <dxfs count="2">
    <dxf>
      <fill>
        <patternFill>
          <bgColor theme="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1005004229433552.html" TargetMode="External"/><Relationship Id="rId3" Type="http://schemas.openxmlformats.org/officeDocument/2006/relationships/hyperlink" Target="https://www.aliexpress.com/item/33028050145.html" TargetMode="External"/><Relationship Id="rId7" Type="http://schemas.openxmlformats.org/officeDocument/2006/relationships/hyperlink" Target="https://www.aliexpress.com/item/1005004431621335.html" TargetMode="External"/><Relationship Id="rId2" Type="http://schemas.openxmlformats.org/officeDocument/2006/relationships/hyperlink" Target="https://www.aliexpress.com/item/1005005926059630.html" TargetMode="External"/><Relationship Id="rId1" Type="http://schemas.openxmlformats.org/officeDocument/2006/relationships/hyperlink" Target="https://www.aliexpress.com/item/1005005844078284.html" TargetMode="External"/><Relationship Id="rId6" Type="http://schemas.openxmlformats.org/officeDocument/2006/relationships/hyperlink" Target="https://www.aliexpress.com/item/1005006422323624.html" TargetMode="External"/><Relationship Id="rId5" Type="http://schemas.openxmlformats.org/officeDocument/2006/relationships/hyperlink" Target="https://www.aliexpress.com/item/33028050145.html" TargetMode="External"/><Relationship Id="rId4" Type="http://schemas.openxmlformats.org/officeDocument/2006/relationships/hyperlink" Target="https://www.aliexpress.com/item/33028050145.html" TargetMode="External"/><Relationship Id="rId9" Type="http://schemas.openxmlformats.org/officeDocument/2006/relationships/hyperlink" Target="https://www.aliexpress.com/item/1005004229433552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AF29F-E593-4396-86FA-6DA2B5F50F4E}">
  <dimension ref="A4:Q64"/>
  <sheetViews>
    <sheetView zoomScale="40" zoomScaleNormal="40" workbookViewId="0">
      <selection activeCell="V38" sqref="V38"/>
    </sheetView>
  </sheetViews>
  <sheetFormatPr defaultRowHeight="14.5" x14ac:dyDescent="0.35"/>
  <cols>
    <col min="5" max="5" width="11.90625" customWidth="1"/>
    <col min="9" max="9" width="10.26953125" customWidth="1"/>
  </cols>
  <sheetData>
    <row r="4" spans="1:17" x14ac:dyDescent="0.35">
      <c r="B4" t="s">
        <v>12</v>
      </c>
      <c r="E4" s="9" t="s">
        <v>11</v>
      </c>
      <c r="F4" s="9" t="s">
        <v>13</v>
      </c>
    </row>
    <row r="5" spans="1:17" x14ac:dyDescent="0.35">
      <c r="B5" s="9">
        <v>350</v>
      </c>
      <c r="E5" s="9">
        <f>SUM(G11:G419)</f>
        <v>264.62</v>
      </c>
      <c r="F5" s="9">
        <f>B5-E5</f>
        <v>85.38</v>
      </c>
    </row>
    <row r="10" spans="1:17" x14ac:dyDescent="0.35">
      <c r="D10" t="s">
        <v>16</v>
      </c>
      <c r="E10" t="s">
        <v>2</v>
      </c>
      <c r="F10" t="s">
        <v>3</v>
      </c>
      <c r="G10" t="s">
        <v>4</v>
      </c>
      <c r="I10" t="s">
        <v>5</v>
      </c>
      <c r="J10" t="s">
        <v>6</v>
      </c>
    </row>
    <row r="11" spans="1:17" ht="21" x14ac:dyDescent="0.5">
      <c r="A11" s="1"/>
      <c r="B11" s="2" t="s">
        <v>0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3" spans="1:17" x14ac:dyDescent="0.35">
      <c r="B13" t="s">
        <v>1</v>
      </c>
      <c r="E13">
        <v>21.02</v>
      </c>
      <c r="F13">
        <v>1</v>
      </c>
      <c r="G13">
        <f>E13*F13</f>
        <v>21.02</v>
      </c>
      <c r="I13" s="10" t="s">
        <v>7</v>
      </c>
      <c r="J13" t="s">
        <v>24</v>
      </c>
    </row>
    <row r="14" spans="1:17" x14ac:dyDescent="0.35">
      <c r="B14" t="s">
        <v>14</v>
      </c>
      <c r="D14" t="s">
        <v>17</v>
      </c>
      <c r="E14">
        <v>16.14</v>
      </c>
      <c r="F14">
        <v>0</v>
      </c>
      <c r="I14" s="10" t="s">
        <v>18</v>
      </c>
      <c r="J14" t="s">
        <v>19</v>
      </c>
    </row>
    <row r="15" spans="1:17" x14ac:dyDescent="0.35">
      <c r="B15" t="s">
        <v>15</v>
      </c>
      <c r="D15" t="s">
        <v>17</v>
      </c>
      <c r="E15">
        <v>15.95</v>
      </c>
      <c r="F15">
        <v>0</v>
      </c>
      <c r="I15" s="10" t="s">
        <v>18</v>
      </c>
      <c r="J15" t="s">
        <v>19</v>
      </c>
    </row>
    <row r="16" spans="1:17" x14ac:dyDescent="0.35">
      <c r="B16" t="s">
        <v>20</v>
      </c>
      <c r="D16" t="s">
        <v>21</v>
      </c>
      <c r="E16">
        <v>5.22</v>
      </c>
      <c r="F16">
        <v>1</v>
      </c>
      <c r="G16">
        <f>E16*F16</f>
        <v>5.22</v>
      </c>
      <c r="I16" s="10" t="s">
        <v>22</v>
      </c>
      <c r="J16" t="s">
        <v>23</v>
      </c>
    </row>
    <row r="22" spans="1:17" ht="21" x14ac:dyDescent="0.5">
      <c r="A22" s="3"/>
      <c r="B22" s="6" t="s">
        <v>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ht="15" customHeight="1" x14ac:dyDescent="0.35">
      <c r="A23" t="s">
        <v>37</v>
      </c>
      <c r="B23" t="s">
        <v>25</v>
      </c>
    </row>
    <row r="24" spans="1:17" ht="15" customHeight="1" x14ac:dyDescent="0.35"/>
    <row r="25" spans="1:17" ht="15" customHeight="1" x14ac:dyDescent="0.35"/>
    <row r="26" spans="1:17" ht="15" customHeight="1" x14ac:dyDescent="0.35"/>
    <row r="27" spans="1:17" ht="15" customHeight="1" x14ac:dyDescent="0.35"/>
    <row r="28" spans="1:17" ht="15" customHeight="1" x14ac:dyDescent="0.35"/>
    <row r="29" spans="1:17" ht="15" customHeight="1" x14ac:dyDescent="0.35"/>
    <row r="30" spans="1:17" ht="15" customHeight="1" x14ac:dyDescent="0.35"/>
    <row r="31" spans="1:17" ht="15" customHeight="1" x14ac:dyDescent="0.35"/>
    <row r="32" spans="1:17" ht="21" customHeight="1" x14ac:dyDescent="0.5">
      <c r="A32" s="11"/>
      <c r="B32" s="12" t="s">
        <v>27</v>
      </c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</row>
    <row r="33" spans="1:17" ht="15" customHeight="1" x14ac:dyDescent="0.35">
      <c r="A33" t="s">
        <v>37</v>
      </c>
      <c r="B33" t="s">
        <v>28</v>
      </c>
    </row>
    <row r="34" spans="1:17" ht="15" customHeight="1" x14ac:dyDescent="0.35">
      <c r="A34" t="s">
        <v>37</v>
      </c>
      <c r="B34" t="s">
        <v>29</v>
      </c>
    </row>
    <row r="35" spans="1:17" ht="15" customHeight="1" x14ac:dyDescent="0.35">
      <c r="A35" t="s">
        <v>37</v>
      </c>
      <c r="B35" t="s">
        <v>30</v>
      </c>
    </row>
    <row r="36" spans="1:17" x14ac:dyDescent="0.35">
      <c r="A36" t="s">
        <v>37</v>
      </c>
      <c r="B36" t="s">
        <v>31</v>
      </c>
    </row>
    <row r="44" spans="1:17" ht="21" x14ac:dyDescent="0.5">
      <c r="A44" s="4"/>
      <c r="B44" s="7" t="s">
        <v>9</v>
      </c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</row>
    <row r="45" spans="1:17" x14ac:dyDescent="0.35">
      <c r="B45" t="s">
        <v>35</v>
      </c>
      <c r="E45">
        <v>0</v>
      </c>
      <c r="F45">
        <v>1</v>
      </c>
      <c r="J45" t="s">
        <v>36</v>
      </c>
    </row>
    <row r="46" spans="1:17" x14ac:dyDescent="0.35">
      <c r="B46" t="s">
        <v>38</v>
      </c>
      <c r="G46">
        <f>'control board and drivers'!O22</f>
        <v>173.39000000000001</v>
      </c>
    </row>
    <row r="51" spans="1:17" x14ac:dyDescent="0.35">
      <c r="A51" t="s">
        <v>26</v>
      </c>
    </row>
    <row r="54" spans="1:17" ht="21" x14ac:dyDescent="0.5">
      <c r="A54" s="19"/>
      <c r="B54" s="20" t="s">
        <v>77</v>
      </c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  <c r="N54" s="19"/>
      <c r="O54" s="19"/>
      <c r="P54" s="19"/>
      <c r="Q54" s="19"/>
    </row>
    <row r="55" spans="1:17" x14ac:dyDescent="0.35">
      <c r="B55" t="s">
        <v>34</v>
      </c>
      <c r="E55">
        <v>64.989999999999995</v>
      </c>
      <c r="F55">
        <v>1</v>
      </c>
      <c r="G55">
        <f>E55*F55</f>
        <v>64.989999999999995</v>
      </c>
      <c r="I55" t="s">
        <v>32</v>
      </c>
      <c r="J55" t="s">
        <v>33</v>
      </c>
    </row>
    <row r="63" spans="1:17" ht="21" x14ac:dyDescent="0.5">
      <c r="A63" s="5"/>
      <c r="B63" s="8" t="s">
        <v>10</v>
      </c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</row>
    <row r="64" spans="1:17" x14ac:dyDescent="0.35">
      <c r="B64" t="s">
        <v>78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A9813-22E6-49FD-8B3B-557C723B737C}">
  <dimension ref="A1:V36"/>
  <sheetViews>
    <sheetView tabSelected="1" zoomScale="85" zoomScaleNormal="85" workbookViewId="0">
      <selection activeCell="I21" sqref="I21"/>
    </sheetView>
  </sheetViews>
  <sheetFormatPr defaultRowHeight="14.5" x14ac:dyDescent="0.35"/>
  <cols>
    <col min="2" max="2" width="12" customWidth="1"/>
    <col min="12" max="12" width="13.90625" customWidth="1"/>
  </cols>
  <sheetData>
    <row r="1" spans="1:22" x14ac:dyDescent="0.35">
      <c r="H1" s="9" t="s">
        <v>11</v>
      </c>
      <c r="I1" s="9" t="s">
        <v>13</v>
      </c>
    </row>
    <row r="2" spans="1:22" x14ac:dyDescent="0.35">
      <c r="H2" s="9">
        <f>'MAIN SHEET'!E5</f>
        <v>264.62</v>
      </c>
      <c r="I2" s="9">
        <f>'MAIN SHEET'!F5</f>
        <v>85.38</v>
      </c>
    </row>
    <row r="4" spans="1:22" ht="26" x14ac:dyDescent="0.6">
      <c r="A4" s="13"/>
      <c r="B4" s="14" t="s">
        <v>39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</row>
    <row r="5" spans="1:22" x14ac:dyDescent="0.35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</row>
    <row r="6" spans="1:22" x14ac:dyDescent="0.35">
      <c r="B6" s="18" t="b">
        <f>IF(AND($C$17,$C$10),TRUE,FALSE)</f>
        <v>0</v>
      </c>
      <c r="C6" s="18" t="b">
        <f>IF(AND($C$17,$C$10),TRUE,FALSE)</f>
        <v>0</v>
      </c>
      <c r="D6" s="18" t="b">
        <f>IF(AND($C$17,$C$10),TRUE,FALSE)</f>
        <v>0</v>
      </c>
      <c r="E6" s="18" t="b">
        <f t="shared" ref="E6:J8" si="0">IF(AND($C$17,$C$10),TRUE,FALSE)</f>
        <v>0</v>
      </c>
      <c r="F6" s="18" t="b">
        <f t="shared" si="0"/>
        <v>0</v>
      </c>
      <c r="G6" s="18" t="b">
        <f t="shared" si="0"/>
        <v>0</v>
      </c>
      <c r="H6" s="18" t="b">
        <f t="shared" si="0"/>
        <v>0</v>
      </c>
      <c r="I6" s="18" t="b">
        <f t="shared" si="0"/>
        <v>0</v>
      </c>
      <c r="J6" s="18" t="b">
        <f t="shared" si="0"/>
        <v>0</v>
      </c>
    </row>
    <row r="7" spans="1:22" x14ac:dyDescent="0.35">
      <c r="A7" t="s">
        <v>76</v>
      </c>
      <c r="B7" s="18" t="b">
        <f>IF(AND(C17,C10),TRUE,FALSE)</f>
        <v>0</v>
      </c>
      <c r="C7" s="18" t="b">
        <f>IF(AND($C$17,$C$10),TRUE,FALSE)</f>
        <v>0</v>
      </c>
      <c r="D7" s="18" t="b">
        <f>IF(AND($C$17,$C$10),TRUE,FALSE)</f>
        <v>0</v>
      </c>
      <c r="E7" s="18" t="b">
        <f t="shared" si="0"/>
        <v>0</v>
      </c>
      <c r="F7" s="18" t="b">
        <f t="shared" si="0"/>
        <v>0</v>
      </c>
      <c r="G7" s="18" t="b">
        <f t="shared" si="0"/>
        <v>0</v>
      </c>
      <c r="H7" s="18" t="b">
        <f t="shared" si="0"/>
        <v>0</v>
      </c>
      <c r="I7" s="18" t="b">
        <f t="shared" si="0"/>
        <v>0</v>
      </c>
      <c r="J7" s="18" t="b">
        <f t="shared" si="0"/>
        <v>0</v>
      </c>
      <c r="L7" t="s">
        <v>46</v>
      </c>
      <c r="N7" t="s">
        <v>45</v>
      </c>
      <c r="O7" t="s">
        <v>73</v>
      </c>
      <c r="P7" t="s">
        <v>47</v>
      </c>
    </row>
    <row r="8" spans="1:22" x14ac:dyDescent="0.35">
      <c r="B8" s="18" t="b">
        <f>IF(AND($C$17,$C$10),TRUE,FALSE)</f>
        <v>0</v>
      </c>
      <c r="C8" s="18" t="b">
        <f>IF(AND($C$17,$C$10),TRUE,FALSE)</f>
        <v>0</v>
      </c>
      <c r="D8" s="18" t="b">
        <f>IF(AND($C$17,$C$10),TRUE,FALSE)</f>
        <v>0</v>
      </c>
      <c r="E8" s="18" t="b">
        <f t="shared" si="0"/>
        <v>0</v>
      </c>
      <c r="F8" s="18" t="b">
        <f t="shared" si="0"/>
        <v>0</v>
      </c>
      <c r="G8" s="18" t="b">
        <f t="shared" si="0"/>
        <v>0</v>
      </c>
      <c r="H8" s="18" t="b">
        <f t="shared" si="0"/>
        <v>0</v>
      </c>
      <c r="I8" s="18" t="b">
        <f t="shared" si="0"/>
        <v>0</v>
      </c>
      <c r="J8" s="18" t="b">
        <f t="shared" si="0"/>
        <v>0</v>
      </c>
      <c r="L8" t="s">
        <v>40</v>
      </c>
      <c r="N8">
        <v>26.46</v>
      </c>
      <c r="O8">
        <f>IF(C15,1,0)</f>
        <v>1</v>
      </c>
      <c r="P8" s="15" t="s">
        <v>60</v>
      </c>
      <c r="V8">
        <f>O8*N8</f>
        <v>26.46</v>
      </c>
    </row>
    <row r="9" spans="1:22" x14ac:dyDescent="0.35">
      <c r="B9" s="16" t="s">
        <v>65</v>
      </c>
      <c r="C9" s="17" t="b">
        <v>1</v>
      </c>
      <c r="L9" t="s">
        <v>41</v>
      </c>
      <c r="N9">
        <v>69.41</v>
      </c>
      <c r="O9">
        <f>IF(C16,1,0)</f>
        <v>0</v>
      </c>
      <c r="P9" s="15" t="s">
        <v>61</v>
      </c>
      <c r="V9">
        <f t="shared" ref="V9:V20" si="1">O9*N9</f>
        <v>0</v>
      </c>
    </row>
    <row r="10" spans="1:22" x14ac:dyDescent="0.35">
      <c r="B10" s="16" t="s">
        <v>64</v>
      </c>
      <c r="C10" s="17" t="b">
        <v>1</v>
      </c>
      <c r="E10" s="21" t="s">
        <v>71</v>
      </c>
      <c r="F10" s="21" t="s">
        <v>72</v>
      </c>
      <c r="G10" s="18"/>
      <c r="L10" t="s">
        <v>42</v>
      </c>
      <c r="N10">
        <v>38.82</v>
      </c>
      <c r="O10">
        <f>IF(C17,1,0)</f>
        <v>0</v>
      </c>
      <c r="P10" s="15" t="s">
        <v>53</v>
      </c>
      <c r="V10">
        <f t="shared" si="1"/>
        <v>0</v>
      </c>
    </row>
    <row r="11" spans="1:22" x14ac:dyDescent="0.35">
      <c r="B11" s="16"/>
      <c r="E11" s="18">
        <v>2</v>
      </c>
      <c r="F11" s="18">
        <f>IF(C9,4,2)</f>
        <v>4</v>
      </c>
      <c r="G11" s="18"/>
      <c r="L11" t="s">
        <v>54</v>
      </c>
      <c r="N11">
        <v>17.77</v>
      </c>
      <c r="O11">
        <f>IF(OR(C22,(AND(C9,C17))),1,0)</f>
        <v>0</v>
      </c>
      <c r="P11" s="15" t="s">
        <v>55</v>
      </c>
      <c r="V11">
        <f t="shared" si="1"/>
        <v>0</v>
      </c>
    </row>
    <row r="12" spans="1:22" x14ac:dyDescent="0.35">
      <c r="B12" s="16" t="s">
        <v>68</v>
      </c>
      <c r="C12" s="17" t="b">
        <v>0</v>
      </c>
      <c r="E12" s="18"/>
      <c r="F12" s="18"/>
      <c r="G12" s="18"/>
      <c r="L12" t="s">
        <v>43</v>
      </c>
      <c r="M12" s="16" t="s">
        <v>57</v>
      </c>
      <c r="N12">
        <v>8.35</v>
      </c>
      <c r="O12">
        <f>IF(E15=2,1,0)</f>
        <v>1</v>
      </c>
      <c r="P12" s="15" t="s">
        <v>56</v>
      </c>
      <c r="V12">
        <f t="shared" si="1"/>
        <v>8.35</v>
      </c>
    </row>
    <row r="13" spans="1:22" x14ac:dyDescent="0.35">
      <c r="B13" s="16" t="s">
        <v>69</v>
      </c>
      <c r="C13" s="17" t="b">
        <v>1</v>
      </c>
      <c r="E13" s="21" t="s">
        <v>75</v>
      </c>
      <c r="F13" s="21"/>
      <c r="G13" s="18"/>
      <c r="M13" s="16" t="s">
        <v>59</v>
      </c>
      <c r="N13">
        <v>18.489999999999998</v>
      </c>
      <c r="O13">
        <f>IF(E16=4,1,0)</f>
        <v>0</v>
      </c>
      <c r="P13" s="15" t="s">
        <v>56</v>
      </c>
      <c r="V13">
        <f t="shared" si="1"/>
        <v>0</v>
      </c>
    </row>
    <row r="14" spans="1:22" x14ac:dyDescent="0.35">
      <c r="B14" s="16"/>
      <c r="E14" s="18">
        <v>2209</v>
      </c>
      <c r="F14" s="18">
        <v>5160</v>
      </c>
      <c r="G14" s="18"/>
      <c r="M14" s="16" t="s">
        <v>58</v>
      </c>
      <c r="N14">
        <v>25.76</v>
      </c>
      <c r="O14">
        <f>IF(E16=6,1,0)</f>
        <v>0</v>
      </c>
      <c r="P14" s="15" t="s">
        <v>56</v>
      </c>
      <c r="V14">
        <f t="shared" si="1"/>
        <v>0</v>
      </c>
    </row>
    <row r="15" spans="1:22" x14ac:dyDescent="0.35">
      <c r="B15" s="16" t="s">
        <v>40</v>
      </c>
      <c r="C15" s="17" t="b">
        <v>1</v>
      </c>
      <c r="E15" s="18">
        <f>E11+F11-F15</f>
        <v>2</v>
      </c>
      <c r="F15" s="18">
        <f>IF(OR(C10,C13),F11,0)</f>
        <v>4</v>
      </c>
      <c r="G15" s="18"/>
      <c r="L15" t="s">
        <v>44</v>
      </c>
      <c r="M15" s="16" t="s">
        <v>63</v>
      </c>
      <c r="N15">
        <v>47.76</v>
      </c>
      <c r="O15">
        <f>IF(F15=2,1,0)</f>
        <v>0</v>
      </c>
      <c r="P15" s="15" t="s">
        <v>62</v>
      </c>
      <c r="V15">
        <f t="shared" si="1"/>
        <v>0</v>
      </c>
    </row>
    <row r="16" spans="1:22" x14ac:dyDescent="0.35">
      <c r="B16" s="16" t="s">
        <v>41</v>
      </c>
      <c r="C16" s="17" t="b">
        <v>0</v>
      </c>
      <c r="E16" s="18">
        <f>IF(C17,0,E15)</f>
        <v>2</v>
      </c>
      <c r="F16" s="18"/>
      <c r="G16" s="18"/>
      <c r="L16" t="s">
        <v>44</v>
      </c>
      <c r="M16" s="16" t="s">
        <v>59</v>
      </c>
      <c r="N16">
        <v>82.6</v>
      </c>
      <c r="O16">
        <f>IF(F15=4,1,0)</f>
        <v>1</v>
      </c>
      <c r="P16" s="15" t="s">
        <v>62</v>
      </c>
      <c r="V16">
        <f t="shared" si="1"/>
        <v>82.6</v>
      </c>
    </row>
    <row r="17" spans="2:22" x14ac:dyDescent="0.35">
      <c r="B17" s="16" t="s">
        <v>42</v>
      </c>
      <c r="C17" s="17" t="b">
        <v>0</v>
      </c>
      <c r="E17" s="18"/>
      <c r="F17" s="18"/>
      <c r="G17" s="18"/>
      <c r="L17" t="s">
        <v>48</v>
      </c>
      <c r="N17">
        <v>41.12</v>
      </c>
      <c r="O17">
        <f>IF(C20,1,0)</f>
        <v>0</v>
      </c>
      <c r="P17" t="s">
        <v>52</v>
      </c>
      <c r="V17">
        <f t="shared" si="1"/>
        <v>0</v>
      </c>
    </row>
    <row r="18" spans="2:22" x14ac:dyDescent="0.35">
      <c r="E18" s="18"/>
      <c r="F18" s="18"/>
      <c r="G18" s="18"/>
      <c r="L18" t="s">
        <v>49</v>
      </c>
      <c r="N18">
        <v>41.56</v>
      </c>
      <c r="O18">
        <f>IF(AND(C19,C10),1,0)</f>
        <v>0</v>
      </c>
      <c r="P18" t="s">
        <v>52</v>
      </c>
      <c r="V18">
        <f t="shared" si="1"/>
        <v>0</v>
      </c>
    </row>
    <row r="19" spans="2:22" x14ac:dyDescent="0.35">
      <c r="B19" s="16" t="s">
        <v>66</v>
      </c>
      <c r="C19" s="17" t="b">
        <v>0</v>
      </c>
      <c r="L19" t="s">
        <v>51</v>
      </c>
      <c r="N19">
        <v>27.99</v>
      </c>
      <c r="O19">
        <f>IF(C20,0,1)</f>
        <v>1</v>
      </c>
      <c r="P19" t="s">
        <v>52</v>
      </c>
      <c r="V19">
        <f t="shared" si="1"/>
        <v>27.99</v>
      </c>
    </row>
    <row r="20" spans="2:22" x14ac:dyDescent="0.35">
      <c r="B20" s="16" t="s">
        <v>67</v>
      </c>
      <c r="C20" s="17" t="b">
        <v>0</v>
      </c>
      <c r="L20" t="s">
        <v>50</v>
      </c>
      <c r="N20">
        <v>27.99</v>
      </c>
      <c r="O20">
        <f>IF(AND(NOT(C19),C10),1,0)</f>
        <v>1</v>
      </c>
      <c r="P20" t="s">
        <v>52</v>
      </c>
      <c r="V20">
        <f t="shared" si="1"/>
        <v>27.99</v>
      </c>
    </row>
    <row r="22" spans="2:22" x14ac:dyDescent="0.35">
      <c r="B22" s="16" t="s">
        <v>70</v>
      </c>
      <c r="C22" s="17" t="b">
        <v>0</v>
      </c>
      <c r="N22" s="16" t="s">
        <v>74</v>
      </c>
      <c r="O22">
        <f>SUM(V8:V20)</f>
        <v>173.39000000000001</v>
      </c>
    </row>
    <row r="32" spans="2:22" x14ac:dyDescent="0.35">
      <c r="M32" s="16"/>
    </row>
    <row r="33" spans="13:13" x14ac:dyDescent="0.35">
      <c r="M33" s="16"/>
    </row>
    <row r="34" spans="13:13" x14ac:dyDescent="0.35">
      <c r="M34" s="16"/>
    </row>
    <row r="35" spans="13:13" x14ac:dyDescent="0.35">
      <c r="M35" s="16"/>
    </row>
    <row r="36" spans="13:13" x14ac:dyDescent="0.35">
      <c r="M36" s="16"/>
    </row>
  </sheetData>
  <conditionalFormatting sqref="B6:J8">
    <cfRule type="cellIs" dxfId="1" priority="2" operator="equal">
      <formula>TRUE</formula>
    </cfRule>
  </conditionalFormatting>
  <conditionalFormatting sqref="O8:O20">
    <cfRule type="cellIs" dxfId="0" priority="1" operator="notEqual">
      <formula>0</formula>
    </cfRule>
  </conditionalFormatting>
  <hyperlinks>
    <hyperlink ref="P10" r:id="rId1" xr:uid="{8833AA14-2BCE-4BA8-A666-F32A728930F3}"/>
    <hyperlink ref="P11" r:id="rId2" xr:uid="{A3C1ED3F-C07F-474C-AB64-45702EE13160}"/>
    <hyperlink ref="P12" r:id="rId3" xr:uid="{03C71FD4-25F9-4EA7-8B9A-652AEFCA89EB}"/>
    <hyperlink ref="P13" r:id="rId4" xr:uid="{718C4C87-6FBC-49E1-A77D-15C8CD055271}"/>
    <hyperlink ref="P14" r:id="rId5" xr:uid="{67785FE6-09FA-46F8-BE0A-8010713C9401}"/>
    <hyperlink ref="P8" r:id="rId6" xr:uid="{E2BC5E38-DA82-4E00-8E4A-3C5002F69225}"/>
    <hyperlink ref="P9" r:id="rId7" xr:uid="{B1012C89-8D3C-4135-851C-F401BDBFBD8B}"/>
    <hyperlink ref="P15" r:id="rId8" xr:uid="{16ABB29F-7814-4DB7-9BD4-9015F98A6FF2}"/>
    <hyperlink ref="P16" r:id="rId9" xr:uid="{A1FA4F46-9C3D-4E88-9D25-0DE59ED5455F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1A9DF-BF37-4E9D-AB37-3A5A4DE1BBCB}">
  <dimension ref="B4:G15"/>
  <sheetViews>
    <sheetView workbookViewId="0">
      <selection activeCell="H7" sqref="H7"/>
    </sheetView>
  </sheetViews>
  <sheetFormatPr defaultRowHeight="14.5" x14ac:dyDescent="0.35"/>
  <sheetData>
    <row r="4" spans="2:7" x14ac:dyDescent="0.35">
      <c r="B4" t="s">
        <v>79</v>
      </c>
    </row>
    <row r="6" spans="2:7" x14ac:dyDescent="0.35">
      <c r="B6" t="s">
        <v>81</v>
      </c>
      <c r="G6" t="s">
        <v>87</v>
      </c>
    </row>
    <row r="7" spans="2:7" x14ac:dyDescent="0.35">
      <c r="B7" t="s">
        <v>80</v>
      </c>
      <c r="C7">
        <v>120</v>
      </c>
      <c r="G7" t="s">
        <v>88</v>
      </c>
    </row>
    <row r="8" spans="2:7" x14ac:dyDescent="0.35">
      <c r="B8" t="s">
        <v>82</v>
      </c>
      <c r="C8">
        <v>120</v>
      </c>
      <c r="G8" t="s">
        <v>89</v>
      </c>
    </row>
    <row r="11" spans="2:7" x14ac:dyDescent="0.35">
      <c r="B11" t="s">
        <v>83</v>
      </c>
      <c r="E11" t="s">
        <v>2</v>
      </c>
      <c r="F11" t="s">
        <v>3</v>
      </c>
      <c r="G11" t="s">
        <v>4</v>
      </c>
    </row>
    <row r="12" spans="2:7" x14ac:dyDescent="0.35">
      <c r="B12" t="s">
        <v>84</v>
      </c>
    </row>
    <row r="13" spans="2:7" x14ac:dyDescent="0.35">
      <c r="B13" t="s">
        <v>85</v>
      </c>
    </row>
    <row r="14" spans="2:7" x14ac:dyDescent="0.35">
      <c r="B14" t="s">
        <v>86</v>
      </c>
    </row>
    <row r="15" spans="2:7" x14ac:dyDescent="0.35">
      <c r="B15" t="s">
        <v>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SHEET</vt:lpstr>
      <vt:lpstr>control board and drivers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</dc:creator>
  <cp:lastModifiedBy>William</cp:lastModifiedBy>
  <dcterms:created xsi:type="dcterms:W3CDTF">2026-03-13T18:00:30Z</dcterms:created>
  <dcterms:modified xsi:type="dcterms:W3CDTF">2026-03-15T16:01:31Z</dcterms:modified>
</cp:coreProperties>
</file>