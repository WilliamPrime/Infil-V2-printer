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Desktop\gtihub\Infil-V2-printer\"/>
    </mc:Choice>
  </mc:AlternateContent>
  <xr:revisionPtr revIDLastSave="0" documentId="13_ncr:1_{21BE692D-2D5A-442F-9480-507A8A357B3B}" xr6:coauthVersionLast="47" xr6:coauthVersionMax="47" xr10:uidLastSave="{00000000-0000-0000-0000-000000000000}"/>
  <bookViews>
    <workbookView xWindow="-110" yWindow="-110" windowWidth="25820" windowHeight="14620" xr2:uid="{80A16C1D-FA00-4BD1-8CF2-E7CFF0DC5DE7}"/>
  </bookViews>
  <sheets>
    <sheet name="MAIN SHEET" sheetId="4" r:id="rId1"/>
    <sheet name="control board and drivers" sheetId="2" r:id="rId2"/>
    <sheet name="old mai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O19" i="2"/>
  <c r="G75" i="4"/>
  <c r="G21" i="4"/>
  <c r="G22" i="4"/>
  <c r="G23" i="4"/>
  <c r="G15" i="4"/>
  <c r="G13" i="4"/>
  <c r="G14" i="4"/>
  <c r="G16" i="4"/>
  <c r="G17" i="4"/>
  <c r="G18" i="4"/>
  <c r="G19" i="4"/>
  <c r="G29" i="4"/>
  <c r="G30" i="4"/>
  <c r="G31" i="4"/>
  <c r="G28" i="4"/>
  <c r="G69" i="4"/>
  <c r="G68" i="4"/>
  <c r="G67" i="4"/>
  <c r="G66" i="4"/>
  <c r="G58" i="4"/>
  <c r="G47" i="4"/>
  <c r="G46" i="4"/>
  <c r="G45" i="4"/>
  <c r="G44" i="4"/>
  <c r="G42" i="4"/>
  <c r="G53" i="1"/>
  <c r="G42" i="1"/>
  <c r="G41" i="1"/>
  <c r="G40" i="1"/>
  <c r="G39" i="1"/>
  <c r="G64" i="1"/>
  <c r="G63" i="1"/>
  <c r="G37" i="1"/>
  <c r="G62" i="1"/>
  <c r="B7" i="2"/>
  <c r="G18" i="1"/>
  <c r="G17" i="1"/>
  <c r="O10" i="2"/>
  <c r="O8" i="2"/>
  <c r="V8" i="2" s="1"/>
  <c r="O9" i="2"/>
  <c r="O11" i="2"/>
  <c r="V11" i="2" s="1"/>
  <c r="B8" i="2"/>
  <c r="C8" i="2"/>
  <c r="D8" i="2"/>
  <c r="E8" i="2"/>
  <c r="F8" i="2"/>
  <c r="G8" i="2"/>
  <c r="H8" i="2"/>
  <c r="I8" i="2"/>
  <c r="J8" i="2"/>
  <c r="E6" i="2"/>
  <c r="F6" i="2"/>
  <c r="G6" i="2"/>
  <c r="H6" i="2"/>
  <c r="I6" i="2"/>
  <c r="J6" i="2"/>
  <c r="E7" i="2"/>
  <c r="F7" i="2"/>
  <c r="G7" i="2"/>
  <c r="H7" i="2"/>
  <c r="I7" i="2"/>
  <c r="J7" i="2"/>
  <c r="D7" i="2"/>
  <c r="D6" i="2"/>
  <c r="B6" i="2"/>
  <c r="C6" i="2"/>
  <c r="C7" i="2"/>
  <c r="F15" i="2"/>
  <c r="O16" i="2" s="1"/>
  <c r="V16" i="2" s="1"/>
  <c r="O17" i="2"/>
  <c r="V17" i="2" s="1"/>
  <c r="V19" i="2"/>
  <c r="O20" i="2"/>
  <c r="V20" i="2" s="1"/>
  <c r="O18" i="2"/>
  <c r="V18" i="2" s="1"/>
  <c r="V9" i="2"/>
  <c r="V10" i="2"/>
  <c r="F11" i="2"/>
  <c r="G61" i="1"/>
  <c r="O15" i="2" l="1"/>
  <c r="V15" i="2" s="1"/>
  <c r="E15" i="2"/>
  <c r="E16" i="2" s="1"/>
  <c r="G16" i="1"/>
  <c r="G13" i="1"/>
  <c r="O14" i="2" l="1"/>
  <c r="V14" i="2" s="1"/>
  <c r="O13" i="2"/>
  <c r="V13" i="2" s="1"/>
  <c r="O12" i="2"/>
  <c r="V12" i="2" s="1"/>
  <c r="O22" i="2" l="1"/>
  <c r="G52" i="1" l="1"/>
  <c r="E5" i="1" s="1"/>
  <c r="F5" i="1" s="1"/>
  <c r="G57" i="4"/>
  <c r="E5" i="4" s="1"/>
  <c r="F5" i="4" s="1"/>
</calcChain>
</file>

<file path=xl/sharedStrings.xml><?xml version="1.0" encoding="utf-8"?>
<sst xmlns="http://schemas.openxmlformats.org/spreadsheetml/2006/main" count="254" uniqueCount="150">
  <si>
    <t>MOTION</t>
  </si>
  <si>
    <t>Gt3 belts</t>
  </si>
  <si>
    <t>Cost</t>
  </si>
  <si>
    <t>Quant</t>
  </si>
  <si>
    <t>Total</t>
  </si>
  <si>
    <t>Link</t>
  </si>
  <si>
    <t>Notes</t>
  </si>
  <si>
    <t>https://www.aliexpress.com/item/1005006856153263.html</t>
  </si>
  <si>
    <t>FRAME</t>
  </si>
  <si>
    <t>ELECTRONICS</t>
  </si>
  <si>
    <t>OTHER</t>
  </si>
  <si>
    <t>Total cost</t>
  </si>
  <si>
    <t>total budget</t>
  </si>
  <si>
    <t>remaining budget</t>
  </si>
  <si>
    <t>Toothed 20t idler</t>
  </si>
  <si>
    <t>Smooth 20t idler</t>
  </si>
  <si>
    <t>pk</t>
  </si>
  <si>
    <t>4pack</t>
  </si>
  <si>
    <t>https://www.aliexpress.com/item/33023133633.html</t>
  </si>
  <si>
    <t>allready own</t>
  </si>
  <si>
    <t>625 bearings</t>
  </si>
  <si>
    <t>10pack</t>
  </si>
  <si>
    <t>https://www.aliexpress.com/item/1005008537901204.html</t>
  </si>
  <si>
    <t>"rs" vs "zz", bom optimisation possible</t>
  </si>
  <si>
    <t>might need more belt, can find cheaper not from mellow, bom optimisation possible</t>
  </si>
  <si>
    <t>2020 extrusions</t>
  </si>
  <si>
    <t xml:space="preserve">               </t>
  </si>
  <si>
    <t>FASTENERS</t>
  </si>
  <si>
    <t>m3 x12</t>
  </si>
  <si>
    <t>m3 x16</t>
  </si>
  <si>
    <t>m3 x20</t>
  </si>
  <si>
    <t>m2.5 x8</t>
  </si>
  <si>
    <t>https://peopoly.net/products/magneto-x-lancer-melt-zone?variant=49972216103194</t>
  </si>
  <si>
    <t>120w heater on it, 15 bucks of the prices is shipping</t>
  </si>
  <si>
    <t>peopoly lancer long</t>
  </si>
  <si>
    <t>240w 120mm bed heater</t>
  </si>
  <si>
    <t xml:space="preserve">Custom bed heater from JLC </t>
  </si>
  <si>
    <t>??</t>
  </si>
  <si>
    <t>MBO+DRIVERS+PSU(s)</t>
  </si>
  <si>
    <t>THE EXPENSIVE STUFF</t>
  </si>
  <si>
    <t>mellow D7</t>
  </si>
  <si>
    <t>mellow fly super</t>
  </si>
  <si>
    <t>skr mini e3 v3</t>
  </si>
  <si>
    <t>tmc 2209</t>
  </si>
  <si>
    <t>tmc 5160 48v</t>
  </si>
  <si>
    <t>cost</t>
  </si>
  <si>
    <t>name</t>
  </si>
  <si>
    <t>link</t>
  </si>
  <si>
    <t>24v meanwel</t>
  </si>
  <si>
    <t>48v meanwel</t>
  </si>
  <si>
    <t>48v fake</t>
  </si>
  <si>
    <t>24v fake</t>
  </si>
  <si>
    <t>https://www.aliexpress.com/item/1005008555881867.html</t>
  </si>
  <si>
    <t>https://www.aliexpress.com/item/1005005844078284.html</t>
  </si>
  <si>
    <t>EBB36 toolhead board</t>
  </si>
  <si>
    <t>https://www.aliexpress.com/item/1005005926059630.html</t>
  </si>
  <si>
    <t>https://www.aliexpress.com/item/33028050145.html</t>
  </si>
  <si>
    <t>2 pk</t>
  </si>
  <si>
    <t>6pk</t>
  </si>
  <si>
    <t>4pk</t>
  </si>
  <si>
    <t>https://www.aliexpress.com/item/1005006422323624.html</t>
  </si>
  <si>
    <t>https://www.aliexpress.com/item/1005004431621335.html</t>
  </si>
  <si>
    <t>https://www.aliexpress.com/item/1005004229433552.html</t>
  </si>
  <si>
    <t>2pk</t>
  </si>
  <si>
    <t>48V</t>
  </si>
  <si>
    <t>AWD</t>
  </si>
  <si>
    <t>Genuine 48v</t>
  </si>
  <si>
    <t>Genuine 24v</t>
  </si>
  <si>
    <t>tmc2209</t>
  </si>
  <si>
    <t>tmc5160</t>
  </si>
  <si>
    <t>EBB36 toolhead</t>
  </si>
  <si>
    <t>z + e</t>
  </si>
  <si>
    <t>xy</t>
  </si>
  <si>
    <t>quant</t>
  </si>
  <si>
    <t>total cost</t>
  </si>
  <si>
    <t>temp</t>
  </si>
  <si>
    <t>error</t>
  </si>
  <si>
    <t>Toolhead</t>
  </si>
  <si>
    <t>voron 0 bed</t>
  </si>
  <si>
    <t>5mm couplers</t>
  </si>
  <si>
    <t>1pk</t>
  </si>
  <si>
    <t>https://www.aliexpress.com/item/1005003594728401.html</t>
  </si>
  <si>
    <t>5mm dia 250mm long , 1pcs</t>
  </si>
  <si>
    <t>5mm shaft</t>
  </si>
  <si>
    <t>HGX 2.0 gears + hardware</t>
  </si>
  <si>
    <t>https://www.aliexpress.com/item/1005007316630515.html</t>
  </si>
  <si>
    <t>comes with other hardware needed</t>
  </si>
  <si>
    <t>m4 20 series t slot nut</t>
  </si>
  <si>
    <t>https://www.aliexpress.com/item/1005004658668930.html</t>
  </si>
  <si>
    <t>m4x24</t>
  </si>
  <si>
    <t>5x5</t>
  </si>
  <si>
    <t>https://www.aliexpress.com/item/1005008857891214.html</t>
  </si>
  <si>
    <t>4015 fan</t>
  </si>
  <si>
    <t>https://www.aliexpress.com/item/1005004832141450.html</t>
  </si>
  <si>
    <t>for low speed PLA</t>
  </si>
  <si>
    <t>2510 fan</t>
  </si>
  <si>
    <t>https://www.aliexpress.com/item/1005003595630530.html</t>
  </si>
  <si>
    <t>fan</t>
  </si>
  <si>
    <t>https://www.aliexpress.com/item/1005004019523225.html</t>
  </si>
  <si>
    <t>2gt 306</t>
  </si>
  <si>
    <t>I allready own this</t>
  </si>
  <si>
    <t>gt2 6mm closed loop belt for belt</t>
  </si>
  <si>
    <t>m5x30</t>
  </si>
  <si>
    <t>6 needed</t>
  </si>
  <si>
    <t>https://www.aliexpress.com/item/1005007593838226.html</t>
  </si>
  <si>
    <t>for tensioning belts</t>
  </si>
  <si>
    <t>m5, 7.5mm od heatset</t>
  </si>
  <si>
    <t>10pk</t>
  </si>
  <si>
    <t>20pk</t>
  </si>
  <si>
    <t>m5 t slot nut</t>
  </si>
  <si>
    <t>https://www.aliexpress.com/item/1005008897571758.html</t>
  </si>
  <si>
    <t>at least 26</t>
  </si>
  <si>
    <t>https://www.aliexpress.com/item/1005007294931248.html</t>
  </si>
  <si>
    <t>50pk</t>
  </si>
  <si>
    <t>m3 heat sets</t>
  </si>
  <si>
    <t>100pk</t>
  </si>
  <si>
    <t>https://www.aliexpress.com/item/1005008285787978.html</t>
  </si>
  <si>
    <t>IEC power inlet</t>
  </si>
  <si>
    <t>https://www.aliexpress.com/item/1005006990146296.html</t>
  </si>
  <si>
    <t>LDO 36STH20-1004AHG</t>
  </si>
  <si>
    <t>https://www.aliexpress.com/item/1005002899860754.html</t>
  </si>
  <si>
    <t>Allready own, using from infil v1</t>
  </si>
  <si>
    <t>https://jlcmc.com/product/b/C15/BR8364/deep-groove-ball-bearing-double-side-with-dust-cover</t>
  </si>
  <si>
    <t>cheaper than jlc</t>
  </si>
  <si>
    <t>5mm dia 11mm shaft</t>
  </si>
  <si>
    <t>5mm dia 50mm shaft</t>
  </si>
  <si>
    <t>5mm dia 142mm shaft</t>
  </si>
  <si>
    <t>https://jlcmc.com/product/s/B08/BACA/linear-shaft-solid-straight-g6-tolerance?k=BACA-C2G1-D5-L11&amp;productModelNumber=BACA-C2G1-D5-L%5B10~500%2F1%5D</t>
  </si>
  <si>
    <t>https://jlcmc.com/product/s/B08/BACA/linear-shaft-solid-straight-g6-tolerance?k=BACA-C2G1-D5-L50&amp;productModelNumber=BACA-C2G1-D5-L%5B10~500%2F1%5D</t>
  </si>
  <si>
    <t>2020 , 180mm</t>
  </si>
  <si>
    <t>2020 , 320mm</t>
  </si>
  <si>
    <t>2020 , 380mm</t>
  </si>
  <si>
    <t>2020 , 280mm</t>
  </si>
  <si>
    <t>Z1 mgn9c 314mm</t>
  </si>
  <si>
    <t>Z1 mgn9c 160mm</t>
  </si>
  <si>
    <t>Z1 mgn9c 224mm</t>
  </si>
  <si>
    <t>external mosfet board to support the bed</t>
  </si>
  <si>
    <t>using my own</t>
  </si>
  <si>
    <t>Gt2 belt 2M</t>
  </si>
  <si>
    <t>https://www.aliexpress.com/item/1005006507781085.html</t>
  </si>
  <si>
    <t>I believe the printer need 2.1M of belt, I have a spare length of belt that will cover 1 of the belts</t>
  </si>
  <si>
    <t>https://www.aliexpress.com/item/1005007347759654.html</t>
  </si>
  <si>
    <t>https://jlcmc.com/product/s/T01/TXCJ/extruded-aluminum-t-slot-20-series(eu)?k=TXCJ-H7-2020D-L320&amp;productModelNumber=TXCJ-H7-2020D-L%5B50~6000%2F0.1%5D</t>
  </si>
  <si>
    <t>https://jlcmc.com/product/s/T01/TXCJ/extruded-aluminum-t-slot-20-series(eu)?k=TXCJ-H7-2020D-L380&amp;productModelNumber=TXCJ-H7-2020D-L%5B50~6000%2F0.1%5D</t>
  </si>
  <si>
    <t>https://jlcmc.com/product/s/T01/TXCJ/extruded-aluminum-t-slot-20-series(eu)?k=TXCJ-H7-2020D-L280&amp;productModelNumber=TXCJ-H7-2020D-L%5B50~6000%2F0.1%5D</t>
  </si>
  <si>
    <t>https://jlcmc.com/product/s/T01/TXCJ/extruded-aluminum-t-slot-20-series(eu)?k=TXCJ-H7-2020D-L180&amp;productModelNumber=TXCJ-H7-2020D-L%5B50~6000%2F0.1%5D</t>
  </si>
  <si>
    <t>https://jlcmc.com/product/s/B03/E-BMN/economical-linear-guide-mini-standard-type-7-9-12-15?k=E-BMN9H-1-L314-Z1-C-M-E7&amp;productModelNumber=E-BMN9H-1-L%5B45~1400%2F1%5D-Z1-C-M-E%5B0~19%2F0.5%5D</t>
  </si>
  <si>
    <t>https://jlcmc.com/product/s/B03/E-BMN/economical-linear-guide-mini-standard-type-7-9-12-15?k=E-BMN9H-1-L160-Z1-C-M-E10&amp;productModelNumber=E-BMN9H-1-L%5B45~1400%2F1%5D-Z1-C-M-E%5B0~19%2F0.5%5D</t>
  </si>
  <si>
    <t>https://jlcmc.com/product/s/B03/E-BMN/economical-linear-guide-mini-standard-type-7-9-12-15?k=E-BMN9H-1-L224-Z1-C-M-E12&amp;productModelNumber=E-BMN9H-1-L%5B45~1400%2F1%5D-Z1-C-M-E%5B0~19%2F0.5%5D</t>
  </si>
  <si>
    <t>https://jlcmc.com/product/s/B08/BACA/linear-shaft-solid-straight-g6-tolerance?k=BACA-C2G1-D5-L142&amp;productModelNumber=BACA-C2G1-D5-L%5B10~500%2F1%5D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</si>
</sst>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0" borderId="0" xfId="0" applyAlignment="1">
      <alignment horizontal="left"/>
    </xf>
    <xf numFmtId="0" fontId="3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5" fillId="7" borderId="0" xfId="0" applyFont="1" applyFill="1"/>
    <xf numFmtId="0" fontId="4" fillId="0" borderId="0" xfId="1"/>
    <xf numFmtId="0" fontId="0" fillId="0" borderId="0" xfId="0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8" borderId="0" xfId="0" applyFill="1"/>
    <xf numFmtId="0" fontId="2" fillId="8" borderId="0" xfId="0" applyFont="1" applyFill="1"/>
    <xf numFmtId="0" fontId="6" fillId="0" borderId="0" xfId="0" applyFont="1"/>
    <xf numFmtId="0" fontId="0" fillId="0" borderId="0" xfId="0" applyAlignment="1">
      <alignment vertical="center"/>
    </xf>
    <xf numFmtId="0" fontId="4" fillId="0" borderId="0" xfId="1" applyAlignment="1">
      <alignment vertical="center"/>
    </xf>
    <xf numFmtId="2" fontId="0" fillId="2" borderId="0" xfId="0" applyNumberFormat="1" applyFill="1"/>
    <xf numFmtId="2" fontId="0" fillId="0" borderId="0" xfId="0" applyNumberFormat="1"/>
    <xf numFmtId="2" fontId="0" fillId="3" borderId="0" xfId="0" applyNumberFormat="1" applyFill="1"/>
    <xf numFmtId="2" fontId="0" fillId="6" borderId="0" xfId="0" applyNumberFormat="1" applyFill="1"/>
    <xf numFmtId="2" fontId="0" fillId="4" borderId="0" xfId="0" applyNumberFormat="1" applyFill="1"/>
    <xf numFmtId="2" fontId="0" fillId="8" borderId="0" xfId="0" applyNumberFormat="1" applyFill="1"/>
  </cellXfs>
  <cellStyles count="2">
    <cellStyle name="Hyperlink" xfId="1" builtinId="8"/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7316630515.html" TargetMode="External"/><Relationship Id="rId2" Type="http://schemas.openxmlformats.org/officeDocument/2006/relationships/hyperlink" Target="https://www.aliexpress.com/item/1005007294931248.html" TargetMode="External"/><Relationship Id="rId1" Type="http://schemas.openxmlformats.org/officeDocument/2006/relationships/hyperlink" Target="https://www.aliexpress.com/item/1005008897571758.html" TargetMode="External"/><Relationship Id="rId5" Type="http://schemas.openxmlformats.org/officeDocument/2006/relationships/hyperlink" Target="https://www.aliexpress.com/item/1005006507781085.html" TargetMode="External"/><Relationship Id="rId4" Type="http://schemas.openxmlformats.org/officeDocument/2006/relationships/hyperlink" Target="https://www.aliexpress.com/item/1005002899860754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4229433552.html" TargetMode="External"/><Relationship Id="rId3" Type="http://schemas.openxmlformats.org/officeDocument/2006/relationships/hyperlink" Target="https://www.aliexpress.com/item/33028050145.html" TargetMode="External"/><Relationship Id="rId7" Type="http://schemas.openxmlformats.org/officeDocument/2006/relationships/hyperlink" Target="https://www.aliexpress.com/item/1005004431621335.html" TargetMode="External"/><Relationship Id="rId2" Type="http://schemas.openxmlformats.org/officeDocument/2006/relationships/hyperlink" Target="https://www.aliexpress.com/item/1005005926059630.html" TargetMode="External"/><Relationship Id="rId1" Type="http://schemas.openxmlformats.org/officeDocument/2006/relationships/hyperlink" Target="https://www.aliexpress.com/item/1005005844078284.html" TargetMode="External"/><Relationship Id="rId6" Type="http://schemas.openxmlformats.org/officeDocument/2006/relationships/hyperlink" Target="https://www.aliexpress.com/item/1005006422323624.html" TargetMode="External"/><Relationship Id="rId5" Type="http://schemas.openxmlformats.org/officeDocument/2006/relationships/hyperlink" Target="https://www.aliexpress.com/item/33028050145.html" TargetMode="External"/><Relationship Id="rId4" Type="http://schemas.openxmlformats.org/officeDocument/2006/relationships/hyperlink" Target="https://www.aliexpress.com/item/33028050145.html" TargetMode="External"/><Relationship Id="rId9" Type="http://schemas.openxmlformats.org/officeDocument/2006/relationships/hyperlink" Target="https://www.aliexpress.com/item/1005004229433552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7294931248.html" TargetMode="External"/><Relationship Id="rId2" Type="http://schemas.openxmlformats.org/officeDocument/2006/relationships/hyperlink" Target="https://www.aliexpress.com/item/1005008897571758.html" TargetMode="External"/><Relationship Id="rId1" Type="http://schemas.openxmlformats.org/officeDocument/2006/relationships/hyperlink" Target="https://www.aliexpress.com/item/1005003594728401.html" TargetMode="External"/><Relationship Id="rId6" Type="http://schemas.openxmlformats.org/officeDocument/2006/relationships/hyperlink" Target="https://www.aliexpress.com/item/1005006856153263.html" TargetMode="External"/><Relationship Id="rId5" Type="http://schemas.openxmlformats.org/officeDocument/2006/relationships/hyperlink" Target="https://www.aliexpress.com/item/1005002899860754.html" TargetMode="External"/><Relationship Id="rId4" Type="http://schemas.openxmlformats.org/officeDocument/2006/relationships/hyperlink" Target="https://www.aliexpress.com/item/100500731663051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EEADE-D7C2-44CE-B0E2-38178E72D153}">
  <dimension ref="A4:Q156"/>
  <sheetViews>
    <sheetView tabSelected="1" zoomScale="87" zoomScaleNormal="87" workbookViewId="0">
      <selection activeCell="S7" sqref="S7"/>
    </sheetView>
  </sheetViews>
  <sheetFormatPr defaultRowHeight="14.5" x14ac:dyDescent="0.35"/>
  <cols>
    <col min="3" max="3" width="11.1796875" customWidth="1"/>
    <col min="5" max="5" width="11.90625" customWidth="1"/>
    <col min="9" max="9" width="10.26953125" customWidth="1"/>
  </cols>
  <sheetData>
    <row r="4" spans="1:17" x14ac:dyDescent="0.35">
      <c r="B4" t="s">
        <v>12</v>
      </c>
      <c r="E4" s="9" t="s">
        <v>11</v>
      </c>
      <c r="F4" s="9" t="s">
        <v>13</v>
      </c>
    </row>
    <row r="5" spans="1:17" x14ac:dyDescent="0.35">
      <c r="B5" s="9">
        <v>350</v>
      </c>
      <c r="E5" s="9">
        <f>SUM(G11:G430)</f>
        <v>339.44000000000005</v>
      </c>
      <c r="F5" s="9">
        <f>B5-E5</f>
        <v>10.559999999999945</v>
      </c>
    </row>
    <row r="10" spans="1:17" x14ac:dyDescent="0.35">
      <c r="D10" t="s">
        <v>16</v>
      </c>
      <c r="E10" t="s">
        <v>2</v>
      </c>
      <c r="F10" t="s">
        <v>3</v>
      </c>
      <c r="G10" t="s">
        <v>4</v>
      </c>
      <c r="I10" t="s">
        <v>5</v>
      </c>
      <c r="J10" t="s">
        <v>6</v>
      </c>
    </row>
    <row r="11" spans="1:17" ht="21" x14ac:dyDescent="0.5">
      <c r="A11" s="1"/>
      <c r="B11" s="2" t="s">
        <v>0</v>
      </c>
      <c r="C11" s="1"/>
      <c r="D11" s="1"/>
      <c r="E11" s="1"/>
      <c r="F11" s="1"/>
      <c r="G11" s="24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G12" s="25"/>
    </row>
    <row r="13" spans="1:17" x14ac:dyDescent="0.35">
      <c r="B13" t="s">
        <v>138</v>
      </c>
      <c r="E13">
        <v>5.72</v>
      </c>
      <c r="F13">
        <v>1</v>
      </c>
      <c r="G13" s="25">
        <f t="shared" ref="G13:G23" si="0">ROUNDUP(F13*E13,2)</f>
        <v>5.72</v>
      </c>
      <c r="I13" s="15" t="s">
        <v>139</v>
      </c>
      <c r="J13" t="s">
        <v>140</v>
      </c>
    </row>
    <row r="14" spans="1:17" x14ac:dyDescent="0.35">
      <c r="B14" t="s">
        <v>14</v>
      </c>
      <c r="D14" t="s">
        <v>17</v>
      </c>
      <c r="E14">
        <v>16.14</v>
      </c>
      <c r="F14">
        <v>0</v>
      </c>
      <c r="G14" s="25">
        <f t="shared" si="0"/>
        <v>0</v>
      </c>
      <c r="I14" s="10" t="s">
        <v>18</v>
      </c>
      <c r="J14" t="s">
        <v>19</v>
      </c>
    </row>
    <row r="15" spans="1:17" x14ac:dyDescent="0.35">
      <c r="B15" t="s">
        <v>20</v>
      </c>
      <c r="D15" t="s">
        <v>80</v>
      </c>
      <c r="E15">
        <v>0.1186</v>
      </c>
      <c r="F15">
        <v>16</v>
      </c>
      <c r="G15" s="25">
        <f>ROUNDUP(F15*E15,2)</f>
        <v>1.9</v>
      </c>
      <c r="I15" s="10" t="s">
        <v>122</v>
      </c>
    </row>
    <row r="16" spans="1:17" x14ac:dyDescent="0.35">
      <c r="B16" t="s">
        <v>79</v>
      </c>
      <c r="D16" t="s">
        <v>80</v>
      </c>
      <c r="E16">
        <v>1.56</v>
      </c>
      <c r="F16">
        <v>4</v>
      </c>
      <c r="G16" s="25">
        <f t="shared" si="0"/>
        <v>6.24</v>
      </c>
      <c r="I16" s="15" t="s">
        <v>91</v>
      </c>
      <c r="J16" t="s">
        <v>90</v>
      </c>
      <c r="K16" t="s">
        <v>123</v>
      </c>
    </row>
    <row r="17" spans="1:17" x14ac:dyDescent="0.35">
      <c r="B17" t="s">
        <v>124</v>
      </c>
      <c r="E17">
        <v>0.66320000000000001</v>
      </c>
      <c r="F17">
        <v>4</v>
      </c>
      <c r="G17" s="25">
        <f t="shared" si="0"/>
        <v>2.6599999999999997</v>
      </c>
      <c r="I17" s="15" t="s">
        <v>127</v>
      </c>
    </row>
    <row r="18" spans="1:17" x14ac:dyDescent="0.35">
      <c r="B18" t="s">
        <v>125</v>
      </c>
      <c r="E18">
        <v>0.75</v>
      </c>
      <c r="F18">
        <v>4</v>
      </c>
      <c r="G18" s="25">
        <f t="shared" si="0"/>
        <v>3</v>
      </c>
      <c r="I18" s="15" t="s">
        <v>128</v>
      </c>
    </row>
    <row r="19" spans="1:17" x14ac:dyDescent="0.35">
      <c r="B19" t="s">
        <v>126</v>
      </c>
      <c r="E19">
        <v>1.1662999999999999</v>
      </c>
      <c r="F19">
        <v>2</v>
      </c>
      <c r="G19" s="25">
        <f t="shared" si="0"/>
        <v>2.34</v>
      </c>
      <c r="I19" s="15" t="s">
        <v>149</v>
      </c>
    </row>
    <row r="20" spans="1:17" x14ac:dyDescent="0.35">
      <c r="G20" s="25"/>
      <c r="I20" s="15"/>
    </row>
    <row r="21" spans="1:17" x14ac:dyDescent="0.35">
      <c r="B21" t="s">
        <v>133</v>
      </c>
      <c r="E21">
        <v>10.951000000000001</v>
      </c>
      <c r="F21">
        <v>1</v>
      </c>
      <c r="G21" s="25">
        <f t="shared" si="0"/>
        <v>10.959999999999999</v>
      </c>
      <c r="I21" s="15" t="s">
        <v>146</v>
      </c>
    </row>
    <row r="22" spans="1:17" x14ac:dyDescent="0.35">
      <c r="B22" t="s">
        <v>134</v>
      </c>
      <c r="E22">
        <v>7.3635999999999999</v>
      </c>
      <c r="F22">
        <v>2</v>
      </c>
      <c r="G22" s="25">
        <f t="shared" si="0"/>
        <v>14.73</v>
      </c>
      <c r="I22" s="15" t="s">
        <v>147</v>
      </c>
    </row>
    <row r="23" spans="1:17" x14ac:dyDescent="0.35">
      <c r="B23" t="s">
        <v>135</v>
      </c>
      <c r="E23">
        <v>8.8442000000000007</v>
      </c>
      <c r="F23">
        <v>3</v>
      </c>
      <c r="G23" s="25">
        <f t="shared" si="0"/>
        <v>26.540000000000003</v>
      </c>
      <c r="I23" t="s">
        <v>148</v>
      </c>
    </row>
    <row r="24" spans="1:17" x14ac:dyDescent="0.35">
      <c r="G24" s="25"/>
    </row>
    <row r="25" spans="1:17" x14ac:dyDescent="0.35">
      <c r="G25" s="25"/>
    </row>
    <row r="26" spans="1:17" x14ac:dyDescent="0.35">
      <c r="G26" s="25"/>
    </row>
    <row r="27" spans="1:17" ht="21" x14ac:dyDescent="0.5">
      <c r="A27" s="3"/>
      <c r="B27" s="6" t="s">
        <v>8</v>
      </c>
      <c r="C27" s="3"/>
      <c r="D27" s="3"/>
      <c r="E27" s="3"/>
      <c r="F27" s="3"/>
      <c r="G27" s="26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" customHeight="1" x14ac:dyDescent="0.35">
      <c r="B28" t="s">
        <v>129</v>
      </c>
      <c r="E28">
        <v>0.47120000000000001</v>
      </c>
      <c r="F28">
        <v>2</v>
      </c>
      <c r="G28" s="25">
        <f>ROUNDUP(F28*E28,2)</f>
        <v>0.95</v>
      </c>
      <c r="I28" t="s">
        <v>145</v>
      </c>
    </row>
    <row r="29" spans="1:17" ht="15" customHeight="1" x14ac:dyDescent="0.35">
      <c r="B29" t="s">
        <v>132</v>
      </c>
      <c r="E29">
        <v>0.72719999999999996</v>
      </c>
      <c r="F29">
        <v>2</v>
      </c>
      <c r="G29" s="25">
        <f t="shared" ref="G29:G31" si="1">ROUNDUP(F29*E29,2)</f>
        <v>1.46</v>
      </c>
      <c r="I29" t="s">
        <v>144</v>
      </c>
    </row>
    <row r="30" spans="1:17" ht="15" customHeight="1" x14ac:dyDescent="0.35">
      <c r="B30" t="s">
        <v>131</v>
      </c>
      <c r="E30">
        <v>0.98140000000000005</v>
      </c>
      <c r="F30">
        <v>2</v>
      </c>
      <c r="G30" s="25">
        <f t="shared" si="1"/>
        <v>1.97</v>
      </c>
      <c r="I30" t="s">
        <v>143</v>
      </c>
    </row>
    <row r="31" spans="1:17" ht="15" customHeight="1" x14ac:dyDescent="0.35">
      <c r="B31" t="s">
        <v>130</v>
      </c>
      <c r="E31">
        <v>0.82850000000000001</v>
      </c>
      <c r="F31">
        <v>4</v>
      </c>
      <c r="G31" s="25">
        <f t="shared" si="1"/>
        <v>3.32</v>
      </c>
      <c r="I31" t="s">
        <v>142</v>
      </c>
    </row>
    <row r="32" spans="1:17" ht="15" customHeight="1" x14ac:dyDescent="0.35">
      <c r="G32" s="25"/>
    </row>
    <row r="33" spans="1:17" ht="15" customHeight="1" x14ac:dyDescent="0.35">
      <c r="G33" s="25"/>
    </row>
    <row r="34" spans="1:17" ht="15" customHeight="1" x14ac:dyDescent="0.35">
      <c r="G34" s="25"/>
    </row>
    <row r="35" spans="1:17" ht="15" customHeight="1" x14ac:dyDescent="0.35">
      <c r="G35" s="25"/>
    </row>
    <row r="36" spans="1:17" ht="15" customHeight="1" x14ac:dyDescent="0.35">
      <c r="G36" s="25"/>
    </row>
    <row r="37" spans="1:17" ht="21" customHeight="1" x14ac:dyDescent="0.5">
      <c r="A37" s="11"/>
      <c r="B37" s="12" t="s">
        <v>27</v>
      </c>
      <c r="C37" s="11"/>
      <c r="D37" s="11"/>
      <c r="E37" s="11"/>
      <c r="F37" s="11"/>
      <c r="G37" s="27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" customHeight="1" x14ac:dyDescent="0.35">
      <c r="A38" t="s">
        <v>37</v>
      </c>
      <c r="B38" t="s">
        <v>28</v>
      </c>
      <c r="G38" s="25"/>
    </row>
    <row r="39" spans="1:17" ht="15" customHeight="1" x14ac:dyDescent="0.35">
      <c r="A39" t="s">
        <v>37</v>
      </c>
      <c r="B39" t="s">
        <v>29</v>
      </c>
      <c r="G39" s="25"/>
    </row>
    <row r="40" spans="1:17" ht="15" customHeight="1" x14ac:dyDescent="0.35">
      <c r="A40" t="s">
        <v>37</v>
      </c>
      <c r="B40" t="s">
        <v>30</v>
      </c>
      <c r="G40" s="25"/>
    </row>
    <row r="41" spans="1:17" x14ac:dyDescent="0.35">
      <c r="A41" t="s">
        <v>37</v>
      </c>
      <c r="B41" t="s">
        <v>31</v>
      </c>
      <c r="G41" s="25"/>
    </row>
    <row r="42" spans="1:17" x14ac:dyDescent="0.35">
      <c r="B42" t="s">
        <v>87</v>
      </c>
      <c r="D42" t="s">
        <v>108</v>
      </c>
      <c r="E42">
        <v>2.06</v>
      </c>
      <c r="F42">
        <v>1</v>
      </c>
      <c r="G42" s="25">
        <f>E42*F42</f>
        <v>2.06</v>
      </c>
      <c r="I42" t="s">
        <v>88</v>
      </c>
    </row>
    <row r="43" spans="1:17" x14ac:dyDescent="0.35">
      <c r="B43" t="s">
        <v>89</v>
      </c>
      <c r="G43" s="25"/>
    </row>
    <row r="44" spans="1:17" x14ac:dyDescent="0.35">
      <c r="A44" t="s">
        <v>103</v>
      </c>
      <c r="B44" t="s">
        <v>102</v>
      </c>
      <c r="D44" t="s">
        <v>107</v>
      </c>
      <c r="E44">
        <v>1.93</v>
      </c>
      <c r="F44">
        <v>1</v>
      </c>
      <c r="G44" s="25">
        <f>E44*F44</f>
        <v>1.93</v>
      </c>
      <c r="I44" t="s">
        <v>104</v>
      </c>
      <c r="J44" t="s">
        <v>105</v>
      </c>
    </row>
    <row r="45" spans="1:17" x14ac:dyDescent="0.35">
      <c r="A45" t="s">
        <v>103</v>
      </c>
      <c r="B45" t="s">
        <v>106</v>
      </c>
      <c r="D45" t="s">
        <v>107</v>
      </c>
      <c r="E45">
        <v>2.39</v>
      </c>
      <c r="F45">
        <v>1</v>
      </c>
      <c r="G45" s="25">
        <f>E45*F45</f>
        <v>2.39</v>
      </c>
      <c r="I45" s="15" t="s">
        <v>110</v>
      </c>
    </row>
    <row r="46" spans="1:17" x14ac:dyDescent="0.35">
      <c r="A46" t="s">
        <v>111</v>
      </c>
      <c r="B46" t="s">
        <v>109</v>
      </c>
      <c r="D46" t="s">
        <v>113</v>
      </c>
      <c r="E46">
        <v>3.92</v>
      </c>
      <c r="F46">
        <v>1</v>
      </c>
      <c r="G46" s="25">
        <f>F46*E46</f>
        <v>3.92</v>
      </c>
      <c r="I46" s="15" t="s">
        <v>112</v>
      </c>
    </row>
    <row r="47" spans="1:17" x14ac:dyDescent="0.35">
      <c r="A47" t="s">
        <v>37</v>
      </c>
      <c r="B47" t="s">
        <v>114</v>
      </c>
      <c r="D47" t="s">
        <v>115</v>
      </c>
      <c r="E47">
        <v>3.34</v>
      </c>
      <c r="F47">
        <v>1</v>
      </c>
      <c r="G47" s="25">
        <f>E47*F47</f>
        <v>3.34</v>
      </c>
      <c r="I47" t="s">
        <v>116</v>
      </c>
    </row>
    <row r="48" spans="1:17" x14ac:dyDescent="0.35">
      <c r="G48" s="25"/>
    </row>
    <row r="49" spans="1:17" x14ac:dyDescent="0.35">
      <c r="G49" s="25"/>
    </row>
    <row r="50" spans="1:17" x14ac:dyDescent="0.35">
      <c r="G50" s="25"/>
    </row>
    <row r="51" spans="1:17" x14ac:dyDescent="0.35">
      <c r="G51" s="25"/>
    </row>
    <row r="52" spans="1:17" x14ac:dyDescent="0.35">
      <c r="G52" s="25"/>
    </row>
    <row r="53" spans="1:17" x14ac:dyDescent="0.35">
      <c r="G53" s="25"/>
    </row>
    <row r="54" spans="1:17" x14ac:dyDescent="0.35">
      <c r="G54" s="25"/>
    </row>
    <row r="55" spans="1:17" ht="21" x14ac:dyDescent="0.5">
      <c r="A55" s="4"/>
      <c r="B55" s="7" t="s">
        <v>9</v>
      </c>
      <c r="C55" s="4"/>
      <c r="D55" s="4"/>
      <c r="E55" s="4"/>
      <c r="F55" s="4"/>
      <c r="G55" s="28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5">
      <c r="B56" t="s">
        <v>35</v>
      </c>
      <c r="E56">
        <v>0</v>
      </c>
      <c r="F56">
        <v>1</v>
      </c>
      <c r="G56" s="25">
        <v>0</v>
      </c>
      <c r="J56" t="s">
        <v>36</v>
      </c>
    </row>
    <row r="57" spans="1:17" x14ac:dyDescent="0.35">
      <c r="B57" t="s">
        <v>38</v>
      </c>
      <c r="G57" s="25">
        <f>'control board and drivers'!O22</f>
        <v>145.4</v>
      </c>
    </row>
    <row r="58" spans="1:17" x14ac:dyDescent="0.35">
      <c r="B58" t="s">
        <v>117</v>
      </c>
      <c r="E58">
        <v>2.0499999999999998</v>
      </c>
      <c r="F58">
        <v>1</v>
      </c>
      <c r="G58" s="25">
        <f>E58*F58</f>
        <v>2.0499999999999998</v>
      </c>
      <c r="I58" t="s">
        <v>118</v>
      </c>
    </row>
    <row r="59" spans="1:17" x14ac:dyDescent="0.35">
      <c r="B59" t="s">
        <v>136</v>
      </c>
      <c r="E59">
        <v>2.2999999999999998</v>
      </c>
      <c r="F59">
        <v>0</v>
      </c>
      <c r="G59" s="25">
        <v>0</v>
      </c>
      <c r="I59" t="s">
        <v>137</v>
      </c>
    </row>
    <row r="60" spans="1:17" x14ac:dyDescent="0.35">
      <c r="G60" s="25"/>
    </row>
    <row r="61" spans="1:17" x14ac:dyDescent="0.35">
      <c r="G61" s="25"/>
    </row>
    <row r="62" spans="1:17" x14ac:dyDescent="0.35">
      <c r="A62" t="s">
        <v>26</v>
      </c>
      <c r="G62" s="25"/>
    </row>
    <row r="63" spans="1:17" x14ac:dyDescent="0.35">
      <c r="G63" s="25"/>
    </row>
    <row r="64" spans="1:17" x14ac:dyDescent="0.35">
      <c r="G64" s="25"/>
    </row>
    <row r="65" spans="1:17" ht="21" x14ac:dyDescent="0.5">
      <c r="A65" s="19"/>
      <c r="B65" s="20" t="s">
        <v>77</v>
      </c>
      <c r="C65" s="19"/>
      <c r="D65" s="19"/>
      <c r="E65" s="19"/>
      <c r="F65" s="19"/>
      <c r="G65" s="2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spans="1:17" x14ac:dyDescent="0.35">
      <c r="B66" t="s">
        <v>34</v>
      </c>
      <c r="E66">
        <v>64.989999999999995</v>
      </c>
      <c r="F66">
        <v>1</v>
      </c>
      <c r="G66" s="25">
        <f>E66*F66</f>
        <v>64.989999999999995</v>
      </c>
      <c r="I66" t="s">
        <v>32</v>
      </c>
      <c r="J66" t="s">
        <v>33</v>
      </c>
    </row>
    <row r="67" spans="1:17" x14ac:dyDescent="0.35">
      <c r="B67" t="s">
        <v>84</v>
      </c>
      <c r="E67">
        <v>13.85</v>
      </c>
      <c r="F67">
        <v>1</v>
      </c>
      <c r="G67" s="25">
        <f>E67*F67</f>
        <v>13.85</v>
      </c>
      <c r="I67" s="15" t="s">
        <v>85</v>
      </c>
      <c r="J67" t="s">
        <v>86</v>
      </c>
    </row>
    <row r="68" spans="1:17" x14ac:dyDescent="0.35">
      <c r="B68" t="s">
        <v>92</v>
      </c>
      <c r="E68">
        <v>2.37</v>
      </c>
      <c r="F68">
        <v>1</v>
      </c>
      <c r="G68" s="25">
        <f>F68*E68</f>
        <v>2.37</v>
      </c>
      <c r="I68" t="s">
        <v>93</v>
      </c>
      <c r="J68" t="s">
        <v>94</v>
      </c>
    </row>
    <row r="69" spans="1:17" x14ac:dyDescent="0.35">
      <c r="B69" t="s">
        <v>95</v>
      </c>
      <c r="E69">
        <v>1.62</v>
      </c>
      <c r="F69">
        <v>1</v>
      </c>
      <c r="G69" s="25">
        <f>F69*E69</f>
        <v>1.62</v>
      </c>
      <c r="I69" t="s">
        <v>96</v>
      </c>
      <c r="J69" t="s">
        <v>97</v>
      </c>
    </row>
    <row r="70" spans="1:17" x14ac:dyDescent="0.35">
      <c r="B70" s="22" t="s">
        <v>119</v>
      </c>
      <c r="E70">
        <v>24.42</v>
      </c>
      <c r="F70">
        <v>1</v>
      </c>
      <c r="G70" s="25">
        <v>0</v>
      </c>
      <c r="I70" s="23" t="s">
        <v>120</v>
      </c>
      <c r="J70" t="s">
        <v>121</v>
      </c>
    </row>
    <row r="71" spans="1:17" x14ac:dyDescent="0.35">
      <c r="G71" s="25"/>
    </row>
    <row r="72" spans="1:17" x14ac:dyDescent="0.35">
      <c r="G72" s="25"/>
    </row>
    <row r="73" spans="1:17" x14ac:dyDescent="0.35">
      <c r="G73" s="25"/>
    </row>
    <row r="74" spans="1:17" ht="21" x14ac:dyDescent="0.5">
      <c r="A74" s="5"/>
      <c r="B74" s="8" t="s">
        <v>10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5">
      <c r="B75" t="s">
        <v>78</v>
      </c>
      <c r="E75">
        <v>13.73</v>
      </c>
      <c r="F75">
        <v>1</v>
      </c>
      <c r="G75" s="25">
        <f t="shared" ref="G70:G75" si="2">F75*E75</f>
        <v>13.73</v>
      </c>
      <c r="I75" t="s">
        <v>141</v>
      </c>
    </row>
    <row r="76" spans="1:17" x14ac:dyDescent="0.35">
      <c r="G76" s="25"/>
    </row>
    <row r="77" spans="1:17" x14ac:dyDescent="0.35">
      <c r="B77" t="s">
        <v>101</v>
      </c>
      <c r="E77">
        <v>1.94</v>
      </c>
      <c r="F77">
        <v>1</v>
      </c>
      <c r="G77" s="25">
        <v>0</v>
      </c>
      <c r="I77" t="s">
        <v>98</v>
      </c>
      <c r="J77" t="s">
        <v>99</v>
      </c>
      <c r="K77" t="s">
        <v>100</v>
      </c>
    </row>
    <row r="78" spans="1:17" x14ac:dyDescent="0.35">
      <c r="G78" s="25"/>
    </row>
    <row r="79" spans="1:17" x14ac:dyDescent="0.35">
      <c r="G79" s="25"/>
    </row>
    <row r="80" spans="1:17" x14ac:dyDescent="0.35">
      <c r="G80" s="25"/>
    </row>
    <row r="81" spans="7:7" x14ac:dyDescent="0.35">
      <c r="G81" s="25"/>
    </row>
    <row r="82" spans="7:7" x14ac:dyDescent="0.35">
      <c r="G82" s="25"/>
    </row>
    <row r="83" spans="7:7" x14ac:dyDescent="0.35">
      <c r="G83" s="25"/>
    </row>
    <row r="84" spans="7:7" x14ac:dyDescent="0.35">
      <c r="G84" s="25"/>
    </row>
    <row r="85" spans="7:7" x14ac:dyDescent="0.35">
      <c r="G85" s="25"/>
    </row>
    <row r="86" spans="7:7" x14ac:dyDescent="0.35">
      <c r="G86" s="25"/>
    </row>
    <row r="87" spans="7:7" x14ac:dyDescent="0.35">
      <c r="G87" s="25"/>
    </row>
    <row r="88" spans="7:7" x14ac:dyDescent="0.35">
      <c r="G88" s="25"/>
    </row>
    <row r="89" spans="7:7" x14ac:dyDescent="0.35">
      <c r="G89" s="25"/>
    </row>
    <row r="90" spans="7:7" x14ac:dyDescent="0.35">
      <c r="G90" s="25"/>
    </row>
    <row r="91" spans="7:7" x14ac:dyDescent="0.35">
      <c r="G91" s="25"/>
    </row>
    <row r="92" spans="7:7" x14ac:dyDescent="0.35">
      <c r="G92" s="25"/>
    </row>
    <row r="93" spans="7:7" x14ac:dyDescent="0.35">
      <c r="G93" s="25"/>
    </row>
    <row r="94" spans="7:7" x14ac:dyDescent="0.35">
      <c r="G94" s="25"/>
    </row>
    <row r="95" spans="7:7" x14ac:dyDescent="0.35">
      <c r="G95" s="25"/>
    </row>
    <row r="96" spans="7:7" x14ac:dyDescent="0.35">
      <c r="G96" s="25"/>
    </row>
    <row r="97" spans="7:7" x14ac:dyDescent="0.35">
      <c r="G97" s="25"/>
    </row>
    <row r="98" spans="7:7" x14ac:dyDescent="0.35">
      <c r="G98" s="25"/>
    </row>
    <row r="99" spans="7:7" x14ac:dyDescent="0.35">
      <c r="G99" s="25"/>
    </row>
    <row r="100" spans="7:7" x14ac:dyDescent="0.35">
      <c r="G100" s="25"/>
    </row>
    <row r="101" spans="7:7" x14ac:dyDescent="0.35">
      <c r="G101" s="25"/>
    </row>
    <row r="102" spans="7:7" x14ac:dyDescent="0.35">
      <c r="G102" s="25"/>
    </row>
    <row r="103" spans="7:7" x14ac:dyDescent="0.35">
      <c r="G103" s="25"/>
    </row>
    <row r="104" spans="7:7" x14ac:dyDescent="0.35">
      <c r="G104" s="25"/>
    </row>
    <row r="105" spans="7:7" x14ac:dyDescent="0.35">
      <c r="G105" s="25"/>
    </row>
    <row r="106" spans="7:7" x14ac:dyDescent="0.35">
      <c r="G106" s="25"/>
    </row>
    <row r="107" spans="7:7" x14ac:dyDescent="0.35">
      <c r="G107" s="25"/>
    </row>
    <row r="108" spans="7:7" x14ac:dyDescent="0.35">
      <c r="G108" s="25"/>
    </row>
    <row r="109" spans="7:7" x14ac:dyDescent="0.35">
      <c r="G109" s="25"/>
    </row>
    <row r="110" spans="7:7" x14ac:dyDescent="0.35">
      <c r="G110" s="25"/>
    </row>
    <row r="111" spans="7:7" x14ac:dyDescent="0.35">
      <c r="G111" s="25"/>
    </row>
    <row r="112" spans="7:7" x14ac:dyDescent="0.35">
      <c r="G112" s="25"/>
    </row>
    <row r="113" spans="7:7" x14ac:dyDescent="0.35">
      <c r="G113" s="25"/>
    </row>
    <row r="114" spans="7:7" x14ac:dyDescent="0.35">
      <c r="G114" s="25"/>
    </row>
    <row r="115" spans="7:7" x14ac:dyDescent="0.35">
      <c r="G115" s="25"/>
    </row>
    <row r="116" spans="7:7" x14ac:dyDescent="0.35">
      <c r="G116" s="25"/>
    </row>
    <row r="117" spans="7:7" x14ac:dyDescent="0.35">
      <c r="G117" s="25"/>
    </row>
    <row r="118" spans="7:7" x14ac:dyDescent="0.35">
      <c r="G118" s="25"/>
    </row>
    <row r="119" spans="7:7" x14ac:dyDescent="0.35">
      <c r="G119" s="25"/>
    </row>
    <row r="120" spans="7:7" x14ac:dyDescent="0.35">
      <c r="G120" s="25"/>
    </row>
    <row r="121" spans="7:7" x14ac:dyDescent="0.35">
      <c r="G121" s="25"/>
    </row>
    <row r="122" spans="7:7" x14ac:dyDescent="0.35">
      <c r="G122" s="25"/>
    </row>
    <row r="123" spans="7:7" x14ac:dyDescent="0.35">
      <c r="G123" s="25"/>
    </row>
    <row r="124" spans="7:7" x14ac:dyDescent="0.35">
      <c r="G124" s="25"/>
    </row>
    <row r="125" spans="7:7" x14ac:dyDescent="0.35">
      <c r="G125" s="25"/>
    </row>
    <row r="126" spans="7:7" x14ac:dyDescent="0.35">
      <c r="G126" s="25"/>
    </row>
    <row r="127" spans="7:7" x14ac:dyDescent="0.35">
      <c r="G127" s="25"/>
    </row>
    <row r="128" spans="7:7" x14ac:dyDescent="0.35">
      <c r="G128" s="25"/>
    </row>
    <row r="129" spans="7:7" x14ac:dyDescent="0.35">
      <c r="G129" s="25"/>
    </row>
    <row r="130" spans="7:7" x14ac:dyDescent="0.35">
      <c r="G130" s="25"/>
    </row>
    <row r="131" spans="7:7" x14ac:dyDescent="0.35">
      <c r="G131" s="25"/>
    </row>
    <row r="132" spans="7:7" x14ac:dyDescent="0.35">
      <c r="G132" s="25"/>
    </row>
    <row r="133" spans="7:7" x14ac:dyDescent="0.35">
      <c r="G133" s="25"/>
    </row>
    <row r="134" spans="7:7" x14ac:dyDescent="0.35">
      <c r="G134" s="25"/>
    </row>
    <row r="135" spans="7:7" x14ac:dyDescent="0.35">
      <c r="G135" s="25"/>
    </row>
    <row r="136" spans="7:7" x14ac:dyDescent="0.35">
      <c r="G136" s="25"/>
    </row>
    <row r="137" spans="7:7" x14ac:dyDescent="0.35">
      <c r="G137" s="25"/>
    </row>
    <row r="138" spans="7:7" x14ac:dyDescent="0.35">
      <c r="G138" s="25"/>
    </row>
    <row r="139" spans="7:7" x14ac:dyDescent="0.35">
      <c r="G139" s="25"/>
    </row>
    <row r="140" spans="7:7" x14ac:dyDescent="0.35">
      <c r="G140" s="25"/>
    </row>
    <row r="141" spans="7:7" x14ac:dyDescent="0.35">
      <c r="G141" s="25"/>
    </row>
    <row r="142" spans="7:7" x14ac:dyDescent="0.35">
      <c r="G142" s="25"/>
    </row>
    <row r="143" spans="7:7" x14ac:dyDescent="0.35">
      <c r="G143" s="25"/>
    </row>
    <row r="144" spans="7:7" x14ac:dyDescent="0.35">
      <c r="G144" s="25"/>
    </row>
    <row r="145" spans="7:7" x14ac:dyDescent="0.35">
      <c r="G145" s="25"/>
    </row>
    <row r="146" spans="7:7" x14ac:dyDescent="0.35">
      <c r="G146" s="25"/>
    </row>
    <row r="147" spans="7:7" x14ac:dyDescent="0.35">
      <c r="G147" s="25"/>
    </row>
    <row r="148" spans="7:7" x14ac:dyDescent="0.35">
      <c r="G148" s="25"/>
    </row>
    <row r="149" spans="7:7" x14ac:dyDescent="0.35">
      <c r="G149" s="25"/>
    </row>
    <row r="150" spans="7:7" x14ac:dyDescent="0.35">
      <c r="G150" s="25"/>
    </row>
    <row r="151" spans="7:7" x14ac:dyDescent="0.35">
      <c r="G151" s="25"/>
    </row>
    <row r="152" spans="7:7" x14ac:dyDescent="0.35">
      <c r="G152" s="25"/>
    </row>
    <row r="153" spans="7:7" x14ac:dyDescent="0.35">
      <c r="G153" s="25"/>
    </row>
    <row r="154" spans="7:7" x14ac:dyDescent="0.35">
      <c r="G154" s="25"/>
    </row>
    <row r="155" spans="7:7" x14ac:dyDescent="0.35">
      <c r="G155" s="25"/>
    </row>
    <row r="156" spans="7:7" x14ac:dyDescent="0.35">
      <c r="G156" s="25"/>
    </row>
  </sheetData>
  <hyperlinks>
    <hyperlink ref="I45" r:id="rId1" xr:uid="{2C3D3AC1-58A4-41B6-91D9-D7EC78DFF675}"/>
    <hyperlink ref="I46" r:id="rId2" xr:uid="{614C48B6-9F43-49A4-879B-891B52FF84C9}"/>
    <hyperlink ref="I67" r:id="rId3" xr:uid="{1E435FE0-28C7-4D32-963D-43EE8AE09C44}"/>
    <hyperlink ref="I70" r:id="rId4" xr:uid="{3F2EC9CD-DCBD-4CC7-9769-AB7EAD354F22}"/>
    <hyperlink ref="I13" r:id="rId5" xr:uid="{AE95EC6C-C753-4E6F-84FF-4316A296D7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9813-22E6-49FD-8B3B-557C723B737C}">
  <dimension ref="A1:V36"/>
  <sheetViews>
    <sheetView zoomScale="85" zoomScaleNormal="85" workbookViewId="0">
      <selection activeCell="I3" sqref="I3"/>
    </sheetView>
  </sheetViews>
  <sheetFormatPr defaultRowHeight="14.5" x14ac:dyDescent="0.35"/>
  <cols>
    <col min="2" max="2" width="12" customWidth="1"/>
    <col min="12" max="12" width="13.90625" customWidth="1"/>
  </cols>
  <sheetData>
    <row r="1" spans="1:22" x14ac:dyDescent="0.35">
      <c r="H1" s="9" t="s">
        <v>11</v>
      </c>
      <c r="I1" s="9" t="s">
        <v>13</v>
      </c>
    </row>
    <row r="2" spans="1:22" x14ac:dyDescent="0.35">
      <c r="H2" s="9">
        <f>'MAIN SHEET'!E5</f>
        <v>339.44000000000005</v>
      </c>
      <c r="I2" s="9">
        <f>'MAIN SHEET'!F5</f>
        <v>10.559999999999945</v>
      </c>
    </row>
    <row r="4" spans="1:22" ht="26" x14ac:dyDescent="0.6">
      <c r="A4" s="13"/>
      <c r="B4" s="14" t="s">
        <v>39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22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22" x14ac:dyDescent="0.35">
      <c r="B6" s="18" t="b">
        <f>IF(AND($C$17,$C$10),TRUE,FALSE)</f>
        <v>0</v>
      </c>
      <c r="C6" s="18" t="b">
        <f>IF(AND($C$17,$C$10),TRUE,FALSE)</f>
        <v>0</v>
      </c>
      <c r="D6" s="18" t="b">
        <f>IF(AND($C$17,$C$10),TRUE,FALSE)</f>
        <v>0</v>
      </c>
      <c r="E6" s="18" t="b">
        <f t="shared" ref="E6:J8" si="0">IF(AND($C$17,$C$10),TRUE,FALSE)</f>
        <v>0</v>
      </c>
      <c r="F6" s="18" t="b">
        <f t="shared" si="0"/>
        <v>0</v>
      </c>
      <c r="G6" s="18" t="b">
        <f t="shared" si="0"/>
        <v>0</v>
      </c>
      <c r="H6" s="18" t="b">
        <f t="shared" si="0"/>
        <v>0</v>
      </c>
      <c r="I6" s="18" t="b">
        <f t="shared" si="0"/>
        <v>0</v>
      </c>
      <c r="J6" s="18" t="b">
        <f t="shared" si="0"/>
        <v>0</v>
      </c>
    </row>
    <row r="7" spans="1:22" x14ac:dyDescent="0.35">
      <c r="A7" t="s">
        <v>76</v>
      </c>
      <c r="B7" s="18" t="b">
        <f>IF(AND(C17,C10),TRUE,FALSE)</f>
        <v>0</v>
      </c>
      <c r="C7" s="18" t="b">
        <f>IF(AND($C$17,$C$10),TRUE,FALSE)</f>
        <v>0</v>
      </c>
      <c r="D7" s="18" t="b">
        <f>IF(AND($C$17,$C$10),TRUE,FALSE)</f>
        <v>0</v>
      </c>
      <c r="E7" s="18" t="b">
        <f t="shared" si="0"/>
        <v>0</v>
      </c>
      <c r="F7" s="18" t="b">
        <f t="shared" si="0"/>
        <v>0</v>
      </c>
      <c r="G7" s="18" t="b">
        <f t="shared" si="0"/>
        <v>0</v>
      </c>
      <c r="H7" s="18" t="b">
        <f t="shared" si="0"/>
        <v>0</v>
      </c>
      <c r="I7" s="18" t="b">
        <f t="shared" si="0"/>
        <v>0</v>
      </c>
      <c r="J7" s="18" t="b">
        <f t="shared" si="0"/>
        <v>0</v>
      </c>
      <c r="L7" t="s">
        <v>46</v>
      </c>
      <c r="N7" t="s">
        <v>45</v>
      </c>
      <c r="O7" t="s">
        <v>73</v>
      </c>
      <c r="P7" t="s">
        <v>47</v>
      </c>
    </row>
    <row r="8" spans="1:22" x14ac:dyDescent="0.35">
      <c r="B8" s="18" t="b">
        <f>IF(AND($C$17,$C$10),TRUE,FALSE)</f>
        <v>0</v>
      </c>
      <c r="C8" s="18" t="b">
        <f>IF(AND($C$17,$C$10),TRUE,FALSE)</f>
        <v>0</v>
      </c>
      <c r="D8" s="18" t="b">
        <f>IF(AND($C$17,$C$10),TRUE,FALSE)</f>
        <v>0</v>
      </c>
      <c r="E8" s="18" t="b">
        <f t="shared" si="0"/>
        <v>0</v>
      </c>
      <c r="F8" s="18" t="b">
        <f t="shared" si="0"/>
        <v>0</v>
      </c>
      <c r="G8" s="18" t="b">
        <f t="shared" si="0"/>
        <v>0</v>
      </c>
      <c r="H8" s="18" t="b">
        <f t="shared" si="0"/>
        <v>0</v>
      </c>
      <c r="I8" s="18" t="b">
        <f t="shared" si="0"/>
        <v>0</v>
      </c>
      <c r="J8" s="18" t="b">
        <f t="shared" si="0"/>
        <v>0</v>
      </c>
      <c r="L8" t="s">
        <v>40</v>
      </c>
      <c r="N8">
        <v>26.46</v>
      </c>
      <c r="O8">
        <f>IF(C15,1,0)</f>
        <v>1</v>
      </c>
      <c r="P8" s="15" t="s">
        <v>60</v>
      </c>
      <c r="V8">
        <f>O8*N8</f>
        <v>26.46</v>
      </c>
    </row>
    <row r="9" spans="1:22" x14ac:dyDescent="0.35">
      <c r="B9" s="16" t="s">
        <v>65</v>
      </c>
      <c r="C9" s="17" t="b">
        <v>1</v>
      </c>
      <c r="L9" t="s">
        <v>41</v>
      </c>
      <c r="N9">
        <v>69.41</v>
      </c>
      <c r="O9">
        <f>IF(C16,1,0)</f>
        <v>0</v>
      </c>
      <c r="P9" s="15" t="s">
        <v>61</v>
      </c>
      <c r="V9">
        <f t="shared" ref="V9:V20" si="1">O9*N9</f>
        <v>0</v>
      </c>
    </row>
    <row r="10" spans="1:22" x14ac:dyDescent="0.35">
      <c r="B10" s="16" t="s">
        <v>64</v>
      </c>
      <c r="C10" s="17" t="b">
        <v>0</v>
      </c>
      <c r="E10" s="21" t="s">
        <v>71</v>
      </c>
      <c r="F10" s="21" t="s">
        <v>72</v>
      </c>
      <c r="G10" s="18"/>
      <c r="L10" t="s">
        <v>42</v>
      </c>
      <c r="N10">
        <v>38.82</v>
      </c>
      <c r="O10">
        <f>IF(C17,1,0)</f>
        <v>0</v>
      </c>
      <c r="P10" s="15" t="s">
        <v>53</v>
      </c>
      <c r="V10">
        <f t="shared" si="1"/>
        <v>0</v>
      </c>
    </row>
    <row r="11" spans="1:22" x14ac:dyDescent="0.35">
      <c r="B11" s="16"/>
      <c r="E11" s="18">
        <v>2</v>
      </c>
      <c r="F11" s="18">
        <f>IF(C9,4,2)</f>
        <v>4</v>
      </c>
      <c r="G11" s="18"/>
      <c r="L11" t="s">
        <v>54</v>
      </c>
      <c r="N11">
        <v>17.77</v>
      </c>
      <c r="O11">
        <f>IF(OR(C22,(AND(C9,C17))),1,0)</f>
        <v>0</v>
      </c>
      <c r="P11" s="15" t="s">
        <v>55</v>
      </c>
      <c r="V11">
        <f t="shared" si="1"/>
        <v>0</v>
      </c>
    </row>
    <row r="12" spans="1:22" x14ac:dyDescent="0.35">
      <c r="B12" s="16" t="s">
        <v>68</v>
      </c>
      <c r="C12" s="17" t="b">
        <v>0</v>
      </c>
      <c r="E12" s="18"/>
      <c r="F12" s="18"/>
      <c r="G12" s="18"/>
      <c r="L12" t="s">
        <v>43</v>
      </c>
      <c r="M12" s="16" t="s">
        <v>57</v>
      </c>
      <c r="N12">
        <v>8.35</v>
      </c>
      <c r="O12">
        <f>IF(E15=2,1,0)</f>
        <v>1</v>
      </c>
      <c r="P12" s="15" t="s">
        <v>56</v>
      </c>
      <c r="V12">
        <f t="shared" si="1"/>
        <v>8.35</v>
      </c>
    </row>
    <row r="13" spans="1:22" x14ac:dyDescent="0.35">
      <c r="B13" s="16" t="s">
        <v>69</v>
      </c>
      <c r="C13" s="17" t="b">
        <v>1</v>
      </c>
      <c r="E13" s="21" t="s">
        <v>75</v>
      </c>
      <c r="F13" s="21"/>
      <c r="G13" s="18"/>
      <c r="M13" s="16" t="s">
        <v>59</v>
      </c>
      <c r="N13">
        <v>18.489999999999998</v>
      </c>
      <c r="O13">
        <f>IF(E16=4,1,0)</f>
        <v>0</v>
      </c>
      <c r="P13" s="15" t="s">
        <v>56</v>
      </c>
      <c r="V13">
        <f t="shared" si="1"/>
        <v>0</v>
      </c>
    </row>
    <row r="14" spans="1:22" x14ac:dyDescent="0.35">
      <c r="B14" s="16"/>
      <c r="E14" s="18">
        <v>2209</v>
      </c>
      <c r="F14" s="18">
        <v>5160</v>
      </c>
      <c r="G14" s="18"/>
      <c r="M14" s="16" t="s">
        <v>58</v>
      </c>
      <c r="N14">
        <v>25.76</v>
      </c>
      <c r="O14">
        <f>IF(E16=6,1,0)</f>
        <v>0</v>
      </c>
      <c r="P14" s="15" t="s">
        <v>56</v>
      </c>
      <c r="V14">
        <f t="shared" si="1"/>
        <v>0</v>
      </c>
    </row>
    <row r="15" spans="1:22" x14ac:dyDescent="0.35">
      <c r="B15" s="16" t="s">
        <v>40</v>
      </c>
      <c r="C15" s="17" t="b">
        <v>1</v>
      </c>
      <c r="E15" s="18">
        <f>E11+F11-F15</f>
        <v>2</v>
      </c>
      <c r="F15" s="18">
        <f>IF(OR(C10,C13),F11,0)</f>
        <v>4</v>
      </c>
      <c r="G15" s="18"/>
      <c r="L15" t="s">
        <v>44</v>
      </c>
      <c r="M15" s="16" t="s">
        <v>63</v>
      </c>
      <c r="N15">
        <v>47.76</v>
      </c>
      <c r="O15">
        <f>IF(F15=2,1,0)</f>
        <v>0</v>
      </c>
      <c r="P15" s="15" t="s">
        <v>62</v>
      </c>
      <c r="V15">
        <f t="shared" si="1"/>
        <v>0</v>
      </c>
    </row>
    <row r="16" spans="1:22" x14ac:dyDescent="0.35">
      <c r="B16" s="16" t="s">
        <v>41</v>
      </c>
      <c r="C16" s="17" t="b">
        <v>0</v>
      </c>
      <c r="E16" s="18">
        <f>IF(C17,0,E15)</f>
        <v>2</v>
      </c>
      <c r="F16" s="18"/>
      <c r="G16" s="18"/>
      <c r="L16" t="s">
        <v>44</v>
      </c>
      <c r="M16" s="16" t="s">
        <v>59</v>
      </c>
      <c r="N16">
        <v>82.6</v>
      </c>
      <c r="O16">
        <f>IF(F15=4,1,0)</f>
        <v>1</v>
      </c>
      <c r="P16" s="15" t="s">
        <v>62</v>
      </c>
      <c r="V16">
        <f t="shared" si="1"/>
        <v>82.6</v>
      </c>
    </row>
    <row r="17" spans="2:22" x14ac:dyDescent="0.35">
      <c r="B17" s="16" t="s">
        <v>42</v>
      </c>
      <c r="C17" s="17" t="b">
        <v>0</v>
      </c>
      <c r="E17" s="18"/>
      <c r="F17" s="18"/>
      <c r="G17" s="18"/>
      <c r="L17" t="s">
        <v>48</v>
      </c>
      <c r="N17">
        <v>41.12</v>
      </c>
      <c r="O17">
        <f>IF(C20,1,0)</f>
        <v>0</v>
      </c>
      <c r="P17" t="s">
        <v>52</v>
      </c>
      <c r="V17">
        <f t="shared" si="1"/>
        <v>0</v>
      </c>
    </row>
    <row r="18" spans="2:22" x14ac:dyDescent="0.35">
      <c r="E18" s="18"/>
      <c r="F18" s="18"/>
      <c r="G18" s="18"/>
      <c r="L18" t="s">
        <v>49</v>
      </c>
      <c r="N18">
        <v>41.56</v>
      </c>
      <c r="O18">
        <f>IF(AND(C19,C10),1,0)</f>
        <v>0</v>
      </c>
      <c r="P18" t="s">
        <v>52</v>
      </c>
      <c r="V18">
        <f t="shared" si="1"/>
        <v>0</v>
      </c>
    </row>
    <row r="19" spans="2:22" x14ac:dyDescent="0.35">
      <c r="B19" s="16" t="s">
        <v>66</v>
      </c>
      <c r="C19" s="17" t="b">
        <v>0</v>
      </c>
      <c r="L19" t="s">
        <v>51</v>
      </c>
      <c r="N19">
        <v>27.99</v>
      </c>
      <c r="O19">
        <f>IF(C20,0,1)</f>
        <v>1</v>
      </c>
      <c r="P19" t="s">
        <v>52</v>
      </c>
      <c r="V19">
        <f t="shared" si="1"/>
        <v>27.99</v>
      </c>
    </row>
    <row r="20" spans="2:22" x14ac:dyDescent="0.35">
      <c r="B20" s="16" t="s">
        <v>67</v>
      </c>
      <c r="C20" s="17" t="b">
        <v>0</v>
      </c>
      <c r="L20" t="s">
        <v>50</v>
      </c>
      <c r="N20">
        <v>27.99</v>
      </c>
      <c r="O20">
        <f>IF(AND(NOT(C19),C10),1,0)</f>
        <v>0</v>
      </c>
      <c r="P20" t="s">
        <v>52</v>
      </c>
      <c r="V20">
        <f t="shared" si="1"/>
        <v>0</v>
      </c>
    </row>
    <row r="22" spans="2:22" x14ac:dyDescent="0.35">
      <c r="B22" s="16" t="s">
        <v>70</v>
      </c>
      <c r="C22" s="17" t="b">
        <v>0</v>
      </c>
      <c r="N22" s="16" t="s">
        <v>74</v>
      </c>
      <c r="O22">
        <f>SUM(V8:V20)</f>
        <v>145.4</v>
      </c>
    </row>
    <row r="32" spans="2:22" x14ac:dyDescent="0.35">
      <c r="M32" s="16"/>
    </row>
    <row r="33" spans="13:13" x14ac:dyDescent="0.35">
      <c r="M33" s="16"/>
    </row>
    <row r="34" spans="13:13" x14ac:dyDescent="0.35">
      <c r="M34" s="16"/>
    </row>
    <row r="35" spans="13:13" x14ac:dyDescent="0.35">
      <c r="M35" s="16"/>
    </row>
    <row r="36" spans="13:13" x14ac:dyDescent="0.35">
      <c r="M36" s="16"/>
    </row>
  </sheetData>
  <conditionalFormatting sqref="B6:J8">
    <cfRule type="cellIs" dxfId="1" priority="2" operator="equal">
      <formula>TRUE</formula>
    </cfRule>
  </conditionalFormatting>
  <conditionalFormatting sqref="O8:O20">
    <cfRule type="cellIs" dxfId="0" priority="1" operator="notEqual">
      <formula>0</formula>
    </cfRule>
  </conditionalFormatting>
  <hyperlinks>
    <hyperlink ref="P10" r:id="rId1" xr:uid="{8833AA14-2BCE-4BA8-A666-F32A728930F3}"/>
    <hyperlink ref="P11" r:id="rId2" xr:uid="{A3C1ED3F-C07F-474C-AB64-45702EE13160}"/>
    <hyperlink ref="P12" r:id="rId3" xr:uid="{03C71FD4-25F9-4EA7-8B9A-652AEFCA89EB}"/>
    <hyperlink ref="P13" r:id="rId4" xr:uid="{718C4C87-6FBC-49E1-A77D-15C8CD055271}"/>
    <hyperlink ref="P14" r:id="rId5" xr:uid="{67785FE6-09FA-46F8-BE0A-8010713C9401}"/>
    <hyperlink ref="P8" r:id="rId6" xr:uid="{E2BC5E38-DA82-4E00-8E4A-3C5002F69225}"/>
    <hyperlink ref="P9" r:id="rId7" xr:uid="{B1012C89-8D3C-4135-851C-F401BDBFBD8B}"/>
    <hyperlink ref="P15" r:id="rId8" xr:uid="{16ABB29F-7814-4DB7-9BD4-9015F98A6FF2}"/>
    <hyperlink ref="P16" r:id="rId9" xr:uid="{A1FA4F46-9C3D-4E88-9D25-0DE59ED545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F29F-E593-4396-86FA-6DA2B5F50F4E}">
  <dimension ref="A4:Q72"/>
  <sheetViews>
    <sheetView zoomScale="85" zoomScaleNormal="85" workbookViewId="0">
      <selection activeCell="B19" sqref="B19"/>
    </sheetView>
  </sheetViews>
  <sheetFormatPr defaultRowHeight="14.5" x14ac:dyDescent="0.35"/>
  <cols>
    <col min="3" max="3" width="11.1796875" customWidth="1"/>
    <col min="5" max="5" width="11.90625" customWidth="1"/>
    <col min="9" max="9" width="10.26953125" customWidth="1"/>
  </cols>
  <sheetData>
    <row r="4" spans="1:17" x14ac:dyDescent="0.35">
      <c r="B4" t="s">
        <v>12</v>
      </c>
      <c r="E4" s="9" t="s">
        <v>11</v>
      </c>
      <c r="F4" s="9" t="s">
        <v>13</v>
      </c>
    </row>
    <row r="5" spans="1:17" x14ac:dyDescent="0.35">
      <c r="B5" s="9">
        <v>350</v>
      </c>
      <c r="E5" s="9">
        <f>SUM(G11:G425)</f>
        <v>279.39000000000004</v>
      </c>
      <c r="F5" s="9">
        <f>B5-E5</f>
        <v>70.609999999999957</v>
      </c>
    </row>
    <row r="10" spans="1:17" x14ac:dyDescent="0.35">
      <c r="D10" t="s">
        <v>16</v>
      </c>
      <c r="E10" t="s">
        <v>2</v>
      </c>
      <c r="F10" t="s">
        <v>3</v>
      </c>
      <c r="G10" t="s">
        <v>4</v>
      </c>
      <c r="I10" t="s">
        <v>5</v>
      </c>
      <c r="J10" t="s">
        <v>6</v>
      </c>
    </row>
    <row r="11" spans="1:17" ht="21" x14ac:dyDescent="0.5">
      <c r="A11" s="1"/>
      <c r="B11" s="2" t="s">
        <v>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3" spans="1:17" x14ac:dyDescent="0.35">
      <c r="B13" t="s">
        <v>1</v>
      </c>
      <c r="E13">
        <v>21.02</v>
      </c>
      <c r="F13">
        <v>1</v>
      </c>
      <c r="G13">
        <f>E13*F13</f>
        <v>21.02</v>
      </c>
      <c r="I13" s="15" t="s">
        <v>7</v>
      </c>
      <c r="J13" t="s">
        <v>24</v>
      </c>
    </row>
    <row r="14" spans="1:17" x14ac:dyDescent="0.35">
      <c r="B14" t="s">
        <v>14</v>
      </c>
      <c r="D14" t="s">
        <v>17</v>
      </c>
      <c r="E14">
        <v>16.14</v>
      </c>
      <c r="F14">
        <v>0</v>
      </c>
      <c r="I14" s="10" t="s">
        <v>18</v>
      </c>
      <c r="J14" t="s">
        <v>19</v>
      </c>
    </row>
    <row r="15" spans="1:17" x14ac:dyDescent="0.35">
      <c r="B15" t="s">
        <v>15</v>
      </c>
      <c r="D15" t="s">
        <v>17</v>
      </c>
      <c r="E15">
        <v>15.95</v>
      </c>
      <c r="F15">
        <v>0</v>
      </c>
      <c r="I15" s="10" t="s">
        <v>18</v>
      </c>
      <c r="J15" t="s">
        <v>19</v>
      </c>
    </row>
    <row r="16" spans="1:17" x14ac:dyDescent="0.35">
      <c r="B16" t="s">
        <v>20</v>
      </c>
      <c r="D16" t="s">
        <v>21</v>
      </c>
      <c r="E16">
        <v>5.22</v>
      </c>
      <c r="F16">
        <v>1</v>
      </c>
      <c r="G16">
        <f>E16*F16</f>
        <v>5.22</v>
      </c>
      <c r="I16" s="10" t="s">
        <v>22</v>
      </c>
      <c r="J16" t="s">
        <v>23</v>
      </c>
    </row>
    <row r="17" spans="1:17" x14ac:dyDescent="0.35">
      <c r="B17" t="s">
        <v>79</v>
      </c>
      <c r="D17" t="s">
        <v>80</v>
      </c>
      <c r="E17">
        <v>1.56</v>
      </c>
      <c r="F17">
        <v>4</v>
      </c>
      <c r="G17">
        <f>E17*F17</f>
        <v>6.24</v>
      </c>
      <c r="I17" s="15" t="s">
        <v>91</v>
      </c>
      <c r="J17" t="s">
        <v>90</v>
      </c>
    </row>
    <row r="18" spans="1:17" x14ac:dyDescent="0.35">
      <c r="B18" t="s">
        <v>83</v>
      </c>
      <c r="D18" t="s">
        <v>80</v>
      </c>
      <c r="E18">
        <v>2.99</v>
      </c>
      <c r="F18">
        <v>1</v>
      </c>
      <c r="G18">
        <f>E18*F18</f>
        <v>2.99</v>
      </c>
      <c r="I18" s="15" t="s">
        <v>81</v>
      </c>
      <c r="J18" t="s">
        <v>82</v>
      </c>
    </row>
    <row r="22" spans="1:17" ht="21" x14ac:dyDescent="0.5">
      <c r="A22" s="3"/>
      <c r="B22" s="6" t="s">
        <v>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" customHeight="1" x14ac:dyDescent="0.35">
      <c r="A23" t="s">
        <v>37</v>
      </c>
      <c r="B23" t="s">
        <v>25</v>
      </c>
    </row>
    <row r="24" spans="1:17" ht="15" customHeight="1" x14ac:dyDescent="0.35"/>
    <row r="25" spans="1:17" ht="15" customHeight="1" x14ac:dyDescent="0.35"/>
    <row r="26" spans="1:17" ht="15" customHeight="1" x14ac:dyDescent="0.35"/>
    <row r="27" spans="1:17" ht="15" customHeight="1" x14ac:dyDescent="0.35"/>
    <row r="28" spans="1:17" ht="15" customHeight="1" x14ac:dyDescent="0.35"/>
    <row r="29" spans="1:17" ht="15" customHeight="1" x14ac:dyDescent="0.35"/>
    <row r="30" spans="1:17" ht="15" customHeight="1" x14ac:dyDescent="0.35"/>
    <row r="31" spans="1:17" ht="15" customHeight="1" x14ac:dyDescent="0.35"/>
    <row r="32" spans="1:17" ht="21" customHeight="1" x14ac:dyDescent="0.5">
      <c r="A32" s="11"/>
      <c r="B32" s="12" t="s">
        <v>27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0" ht="15" customHeight="1" x14ac:dyDescent="0.35">
      <c r="A33" t="s">
        <v>37</v>
      </c>
      <c r="B33" t="s">
        <v>28</v>
      </c>
    </row>
    <row r="34" spans="1:10" ht="15" customHeight="1" x14ac:dyDescent="0.35">
      <c r="A34" t="s">
        <v>37</v>
      </c>
      <c r="B34" t="s">
        <v>29</v>
      </c>
    </row>
    <row r="35" spans="1:10" ht="15" customHeight="1" x14ac:dyDescent="0.35">
      <c r="A35" t="s">
        <v>37</v>
      </c>
      <c r="B35" t="s">
        <v>30</v>
      </c>
    </row>
    <row r="36" spans="1:10" x14ac:dyDescent="0.35">
      <c r="A36" t="s">
        <v>37</v>
      </c>
      <c r="B36" t="s">
        <v>31</v>
      </c>
    </row>
    <row r="37" spans="1:10" x14ac:dyDescent="0.35">
      <c r="B37" t="s">
        <v>87</v>
      </c>
      <c r="D37" t="s">
        <v>108</v>
      </c>
      <c r="E37">
        <v>2.06</v>
      </c>
      <c r="F37">
        <v>1</v>
      </c>
      <c r="G37">
        <f>E37*F37</f>
        <v>2.06</v>
      </c>
      <c r="I37" t="s">
        <v>88</v>
      </c>
    </row>
    <row r="38" spans="1:10" x14ac:dyDescent="0.35">
      <c r="B38" t="s">
        <v>89</v>
      </c>
    </row>
    <row r="39" spans="1:10" x14ac:dyDescent="0.35">
      <c r="A39" t="s">
        <v>103</v>
      </c>
      <c r="B39" t="s">
        <v>102</v>
      </c>
      <c r="D39" t="s">
        <v>107</v>
      </c>
      <c r="E39">
        <v>1.93</v>
      </c>
      <c r="F39">
        <v>1</v>
      </c>
      <c r="G39">
        <f>E39*F39</f>
        <v>1.93</v>
      </c>
      <c r="I39" t="s">
        <v>104</v>
      </c>
      <c r="J39" t="s">
        <v>105</v>
      </c>
    </row>
    <row r="40" spans="1:10" x14ac:dyDescent="0.35">
      <c r="A40" t="s">
        <v>103</v>
      </c>
      <c r="B40" t="s">
        <v>106</v>
      </c>
      <c r="D40" t="s">
        <v>107</v>
      </c>
      <c r="E40">
        <v>2.39</v>
      </c>
      <c r="F40">
        <v>1</v>
      </c>
      <c r="G40">
        <f>E40*F40</f>
        <v>2.39</v>
      </c>
      <c r="I40" s="15" t="s">
        <v>110</v>
      </c>
    </row>
    <row r="41" spans="1:10" x14ac:dyDescent="0.35">
      <c r="A41" t="s">
        <v>111</v>
      </c>
      <c r="B41" t="s">
        <v>109</v>
      </c>
      <c r="D41" t="s">
        <v>113</v>
      </c>
      <c r="E41">
        <v>3.92</v>
      </c>
      <c r="F41">
        <v>1</v>
      </c>
      <c r="G41">
        <f>F41*E41</f>
        <v>3.92</v>
      </c>
      <c r="I41" s="15" t="s">
        <v>112</v>
      </c>
    </row>
    <row r="42" spans="1:10" x14ac:dyDescent="0.35">
      <c r="A42" t="s">
        <v>37</v>
      </c>
      <c r="B42" t="s">
        <v>114</v>
      </c>
      <c r="D42" t="s">
        <v>115</v>
      </c>
      <c r="E42">
        <v>3.34</v>
      </c>
      <c r="F42">
        <v>1</v>
      </c>
      <c r="G42">
        <f>E42*F42</f>
        <v>3.34</v>
      </c>
      <c r="I42" t="s">
        <v>116</v>
      </c>
    </row>
    <row r="50" spans="1:17" ht="21" x14ac:dyDescent="0.5">
      <c r="A50" s="4"/>
      <c r="B50" s="7" t="s">
        <v>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5">
      <c r="B51" t="s">
        <v>35</v>
      </c>
      <c r="E51">
        <v>0</v>
      </c>
      <c r="F51">
        <v>1</v>
      </c>
      <c r="J51" t="s">
        <v>36</v>
      </c>
    </row>
    <row r="52" spans="1:17" x14ac:dyDescent="0.35">
      <c r="B52" t="s">
        <v>38</v>
      </c>
      <c r="G52">
        <f>'control board and drivers'!O22</f>
        <v>145.4</v>
      </c>
    </row>
    <row r="53" spans="1:17" x14ac:dyDescent="0.35">
      <c r="B53" t="s">
        <v>117</v>
      </c>
      <c r="E53">
        <v>2.0499999999999998</v>
      </c>
      <c r="F53">
        <v>1</v>
      </c>
      <c r="G53">
        <f>E53*F53</f>
        <v>2.0499999999999998</v>
      </c>
      <c r="I53" t="s">
        <v>118</v>
      </c>
    </row>
    <row r="57" spans="1:17" x14ac:dyDescent="0.35">
      <c r="A57" t="s">
        <v>26</v>
      </c>
    </row>
    <row r="60" spans="1:17" ht="21" x14ac:dyDescent="0.5">
      <c r="A60" s="19"/>
      <c r="B60" s="20" t="s">
        <v>77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spans="1:17" x14ac:dyDescent="0.35">
      <c r="B61" t="s">
        <v>34</v>
      </c>
      <c r="E61">
        <v>64.989999999999995</v>
      </c>
      <c r="F61">
        <v>1</v>
      </c>
      <c r="G61">
        <f>E61*F61</f>
        <v>64.989999999999995</v>
      </c>
      <c r="I61" t="s">
        <v>32</v>
      </c>
      <c r="J61" t="s">
        <v>33</v>
      </c>
    </row>
    <row r="62" spans="1:17" x14ac:dyDescent="0.35">
      <c r="B62" t="s">
        <v>84</v>
      </c>
      <c r="E62">
        <v>13.85</v>
      </c>
      <c r="F62">
        <v>1</v>
      </c>
      <c r="G62">
        <f>E62*F62</f>
        <v>13.85</v>
      </c>
      <c r="I62" s="15" t="s">
        <v>85</v>
      </c>
      <c r="J62" t="s">
        <v>86</v>
      </c>
    </row>
    <row r="63" spans="1:17" x14ac:dyDescent="0.35">
      <c r="B63" t="s">
        <v>92</v>
      </c>
      <c r="E63">
        <v>2.37</v>
      </c>
      <c r="F63">
        <v>1</v>
      </c>
      <c r="G63">
        <f>F63*E63</f>
        <v>2.37</v>
      </c>
      <c r="I63" t="s">
        <v>93</v>
      </c>
      <c r="J63" t="s">
        <v>94</v>
      </c>
    </row>
    <row r="64" spans="1:17" x14ac:dyDescent="0.35">
      <c r="B64" t="s">
        <v>95</v>
      </c>
      <c r="E64">
        <v>1.62</v>
      </c>
      <c r="F64">
        <v>1</v>
      </c>
      <c r="G64">
        <f>F64*E64</f>
        <v>1.62</v>
      </c>
      <c r="I64" t="s">
        <v>96</v>
      </c>
      <c r="J64" t="s">
        <v>97</v>
      </c>
    </row>
    <row r="65" spans="1:17" x14ac:dyDescent="0.35">
      <c r="B65" s="22" t="s">
        <v>119</v>
      </c>
      <c r="E65">
        <v>24.42</v>
      </c>
      <c r="F65">
        <v>1</v>
      </c>
      <c r="G65">
        <v>0</v>
      </c>
      <c r="I65" s="23" t="s">
        <v>120</v>
      </c>
      <c r="J65" t="s">
        <v>121</v>
      </c>
    </row>
    <row r="69" spans="1:17" ht="21" x14ac:dyDescent="0.5">
      <c r="A69" s="5"/>
      <c r="B69" s="8" t="s">
        <v>10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5">
      <c r="B70" t="s">
        <v>78</v>
      </c>
    </row>
    <row r="71" spans="1:17" x14ac:dyDescent="0.35">
      <c r="A71" s="17" t="b">
        <v>0</v>
      </c>
    </row>
    <row r="72" spans="1:17" x14ac:dyDescent="0.35">
      <c r="B72" t="s">
        <v>101</v>
      </c>
      <c r="E72">
        <v>1.94</v>
      </c>
      <c r="F72">
        <v>1</v>
      </c>
      <c r="G72">
        <v>0</v>
      </c>
      <c r="I72" t="s">
        <v>98</v>
      </c>
      <c r="J72" t="s">
        <v>99</v>
      </c>
      <c r="K72" t="s">
        <v>100</v>
      </c>
    </row>
  </sheetData>
  <hyperlinks>
    <hyperlink ref="I18" r:id="rId1" xr:uid="{ED4F41E1-A529-4793-9FCA-84FC8970C525}"/>
    <hyperlink ref="I40" r:id="rId2" xr:uid="{7760352D-09F6-4807-B755-17BC1DD14539}"/>
    <hyperlink ref="I41" r:id="rId3" xr:uid="{648F2F18-4B59-4E72-AFCF-A5BBA1D16E74}"/>
    <hyperlink ref="I62" r:id="rId4" xr:uid="{B6BC9311-9C18-4C06-915B-F634FE923818}"/>
    <hyperlink ref="I65" r:id="rId5" xr:uid="{E92B8886-CE36-46BD-9774-3AFBD3CE6AC5}"/>
    <hyperlink ref="I13" r:id="rId6" xr:uid="{5E77D310-E70E-4918-B67B-5E579591DE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SHEET</vt:lpstr>
      <vt:lpstr>control board and drivers</vt:lpstr>
      <vt:lpstr>old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</cp:lastModifiedBy>
  <dcterms:created xsi:type="dcterms:W3CDTF">2026-03-13T18:00:30Z</dcterms:created>
  <dcterms:modified xsi:type="dcterms:W3CDTF">2026-04-03T13:11:22Z</dcterms:modified>
</cp:coreProperties>
</file>